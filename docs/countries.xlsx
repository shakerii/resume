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Ramtin\Documents\Projects\personal\resume\docs\"/>
    </mc:Choice>
  </mc:AlternateContent>
  <xr:revisionPtr revIDLastSave="0" documentId="13_ncr:1_{FD7A3052-A2A6-474F-86DC-6C8E6493204F}" xr6:coauthVersionLast="36" xr6:coauthVersionMax="36" xr10:uidLastSave="{00000000-0000-0000-0000-000000000000}"/>
  <bookViews>
    <workbookView xWindow="0" yWindow="0" windowWidth="38400" windowHeight="17505" activeTab="1" xr2:uid="{00000000-000D-0000-FFFF-FFFF00000000}"/>
  </bookViews>
  <sheets>
    <sheet name="Countries" sheetId="1" r:id="rId1"/>
    <sheet name="Methods" sheetId="2" r:id="rId2"/>
  </sheets>
  <definedNames>
    <definedName name="_xlnm._FilterDatabase" localSheetId="0" hidden="1">Countries!$A$1:$AF$23</definedName>
    <definedName name="_xlnm._FilterDatabase" localSheetId="1" hidden="1">Methods!$A$1:$H$11</definedName>
  </definedNames>
  <calcPr calcId="191029"/>
</workbook>
</file>

<file path=xl/calcChain.xml><?xml version="1.0" encoding="utf-8"?>
<calcChain xmlns="http://schemas.openxmlformats.org/spreadsheetml/2006/main">
  <c r="U14" i="1" l="1"/>
  <c r="U22" i="1"/>
  <c r="U9" i="1"/>
  <c r="U15" i="1"/>
  <c r="U13" i="1"/>
  <c r="U6" i="1"/>
  <c r="U5" i="1"/>
  <c r="U20" i="1"/>
  <c r="U23" i="1"/>
  <c r="U7" i="1"/>
  <c r="U12" i="1"/>
  <c r="U8" i="1"/>
  <c r="U18" i="1"/>
  <c r="U3" i="1"/>
  <c r="U19" i="1"/>
  <c r="U21" i="1"/>
  <c r="U10" i="1"/>
  <c r="U17" i="1"/>
  <c r="U16" i="1"/>
  <c r="U11" i="1"/>
  <c r="U4" i="1"/>
  <c r="U2" i="1"/>
</calcChain>
</file>

<file path=xl/sharedStrings.xml><?xml version="1.0" encoding="utf-8"?>
<sst xmlns="http://schemas.openxmlformats.org/spreadsheetml/2006/main" count="407" uniqueCount="355">
  <si>
    <t>Country</t>
  </si>
  <si>
    <t>Tier</t>
  </si>
  <si>
    <t>Expected Salary</t>
  </si>
  <si>
    <t>Salary Mid (USD, approx)</t>
  </si>
  <si>
    <t>Sal. Rate (0-100)</t>
  </si>
  <si>
    <t>Job Market Rate (0-100)</t>
  </si>
  <si>
    <t>COL / Rent Rate (0-100, high=affordable)</t>
  </si>
  <si>
    <t>Tax Rate (0-100, high=good)</t>
  </si>
  <si>
    <t>Healthcare Rate (0-100)</t>
  </si>
  <si>
    <t>Visa Ease Rate (0-100)</t>
  </si>
  <si>
    <t>Sanction Friction (0-100, high=easy)</t>
  </si>
  <si>
    <t>English Friendly (0-100)</t>
  </si>
  <si>
    <t>English at Work (0-100)</t>
  </si>
  <si>
    <t>English Daily Life (0-100)</t>
  </si>
  <si>
    <t>Resume Boost Rate (0-100)</t>
  </si>
  <si>
    <t>Est. Annual Savings (USD, approx)</t>
  </si>
  <si>
    <t>Wealth Opportunity (0-100)</t>
  </si>
  <si>
    <t>Social Warmth (1-10)</t>
  </si>
  <si>
    <t>Openness to Foreigners (1-10)</t>
  </si>
  <si>
    <t>Apply-from-Iran Score (0-100)</t>
  </si>
  <si>
    <t>Total Score (0-100, auto)</t>
  </si>
  <si>
    <t>Years to PR</t>
  </si>
  <si>
    <t>Timezone</t>
  </si>
  <si>
    <t>Good Cities</t>
  </si>
  <si>
    <t>Environment</t>
  </si>
  <si>
    <t>Cultural Comfort Notes</t>
  </si>
  <si>
    <t>Job Market</t>
  </si>
  <si>
    <t>Technical Focus</t>
  </si>
  <si>
    <t>FANG Presence</t>
  </si>
  <si>
    <t>Need to Learn</t>
  </si>
  <si>
    <t>Job Search from Iran - How &amp; How Hard</t>
  </si>
  <si>
    <t>Pros / Cons</t>
  </si>
  <si>
    <t>USA</t>
  </si>
  <si>
    <t>$150k-$300k+</t>
  </si>
  <si>
    <t>5-15+ years</t>
  </si>
  <si>
    <t>UTC-5 to -8</t>
  </si>
  <si>
    <t>SF, NYC, Seattle, Austin</t>
  </si>
  <si>
    <t>Highly competitive, suburban/urban mix</t>
  </si>
  <si>
    <t>Reserved, individualistic; hard to break in socially at first but very open once in</t>
  </si>
  <si>
    <t>Tech Mecca, AI HQ</t>
  </si>
  <si>
    <t>AI, ML, Scaled SaaS</t>
  </si>
  <si>
    <t>HQ for all</t>
  </si>
  <si>
    <t>Hyper-scale, cutting edge AI</t>
  </si>
  <si>
    <t>HARD from Iran: almost no direct H-1B sponsorship; realistic routes are L-1 after joining a US company's office elsewhere, O-1 extraordinary-ability visa, or a US Master's (F-1 → OPT → H-1B lottery). Sanctions add bank/payment friction.</t>
  </si>
  <si>
    <t>Unmatched compensation and tech / Brutal visa process, high healthcare costs</t>
  </si>
  <si>
    <t>UAE</t>
  </si>
  <si>
    <t>A</t>
  </si>
  <si>
    <t>$80k-$150k (Tax Free)</t>
  </si>
  <si>
    <t>Golden Visa (10y), No Citizenship</t>
  </si>
  <si>
    <t>UTC+4</t>
  </si>
  <si>
    <t>Dubai, Abu Dhabi</t>
  </si>
  <si>
    <t>Luxury, safe, extremely hot summers</t>
  </si>
  <si>
    <t>Warm and extremely multicultural; huge expat majority means easy social circle, though friendships can feel transient</t>
  </si>
  <si>
    <t>Rapidly growing tech, Crypto, Gov AI</t>
  </si>
  <si>
    <t>FinTech, Web3, Enterprise</t>
  </si>
  <si>
    <t>Sales/Cloud Hubs</t>
  </si>
  <si>
    <t>Regional scaling, multi-cultural management</t>
  </si>
  <si>
    <t>EASY from Iran: LinkedIn + direct applications work; recruiters actively hire Iranians in tech; visa is employer-sponsored and fast; banking can still be slow due to compliance checks.</t>
  </si>
  <si>
    <t>Zero tax, extremely safe, easy visa / No PR path, summer heat</t>
  </si>
  <si>
    <t>Oman</t>
  </si>
  <si>
    <t>$60k-$90k (Tax Free)</t>
  </si>
  <si>
    <t>Muscat</t>
  </si>
  <si>
    <t>Quiet, traditional, exceptionally safe</t>
  </si>
  <si>
    <t>Warm, family-oriented, traditional; reserved with strangers but genuinely hospitable</t>
  </si>
  <si>
    <t>Emerging tech, Gov IT</t>
  </si>
  <si>
    <t>Infrastructure, FinTech basics</t>
  </si>
  <si>
    <t>No</t>
  </si>
  <si>
    <t>Vendor management</t>
  </si>
  <si>
    <t>MODERATE from Iran: small market with few openings; best entered via regional recruiters or Gulf-wide job boards; employer-sponsored visa is straightforward once an offer lands.</t>
  </si>
  <si>
    <t>Zero tax, relaxed pace / Limited advanced AI scene</t>
  </si>
  <si>
    <t>Denmark</t>
  </si>
  <si>
    <t>€75k-€110k</t>
  </si>
  <si>
    <t>8 years</t>
  </si>
  <si>
    <t>UTC+1</t>
  </si>
  <si>
    <t>Copenhagen, Aarhus</t>
  </si>
  <si>
    <t>Bikes, design-focused, very expensive</t>
  </si>
  <si>
    <t>Cold-blooded on the surface; closed social circles that take years to enter, but loyal once you are in</t>
  </si>
  <si>
    <t>High digitization, strong tech infra</t>
  </si>
  <si>
    <t>FinTech, BioTech, GreenTech</t>
  </si>
  <si>
    <t>Microsoft, Uber</t>
  </si>
  <si>
    <t>Green tech integration</t>
  </si>
  <si>
    <t>HARD from Iran: small market, few junior-friendly openings; work via LinkedIn + international portals (thelocal.dk jobs, WorkinDenmark); Fast-track scheme helps if employer is certified; sanctions complicate bank setup.</t>
  </si>
  <si>
    <t>Top-tier WLB / Very high tax (though expat scheme exists)</t>
  </si>
  <si>
    <t>Norway</t>
  </si>
  <si>
    <t>€80k-€120k</t>
  </si>
  <si>
    <t>3 years</t>
  </si>
  <si>
    <t>Oslo</t>
  </si>
  <si>
    <t>Incredible nature, very quiet, cold</t>
  </si>
  <si>
    <t>Cold-blooded: polite but distant; small talk is rare; social life often built around hobbies and hiking clubs</t>
  </si>
  <si>
    <t>Energy tech, maritime, solid public IT</t>
  </si>
  <si>
    <t>Energy tech, robust infrastructure</t>
  </si>
  <si>
    <t>Microsoft</t>
  </si>
  <si>
    <t>Work-life balance mastery</t>
  </si>
  <si>
    <t>HARD from Iran: small market; apply via LinkedIn, finn.no; skilled-worker rules are clear but employers are slow to relocate from Iran; bank account opening has compliance delays.</t>
  </si>
  <si>
    <t>Massive wealth fund, safe / High COL, limited hyper-growth startups</t>
  </si>
  <si>
    <t>Netherlands</t>
  </si>
  <si>
    <t>€75k-€115k</t>
  </si>
  <si>
    <t>5 years</t>
  </si>
  <si>
    <t>Amsterdam, Rotterdam</t>
  </si>
  <si>
    <t>Bikes, flat, excellent infrastructure</t>
  </si>
  <si>
    <t>Direct and open; moderately warm once past the calendar-appointment friendship stage; huge international scene</t>
  </si>
  <si>
    <t>Trading, FinTech, strong startup scene</t>
  </si>
  <si>
    <t>HFT, Payments (Adyen), SaaS</t>
  </si>
  <si>
    <t>Uber, Netflix, Databricks</t>
  </si>
  <si>
    <t>Payments, low-latency</t>
  </si>
  <si>
    <t>MODERATE-EASY from Iran: the 30% ruling and HSM visa make sponsors motivated; strong English-first workplaces (Booking, Adyen, Uber); relocation agencies handle the process; housing is the real battle.</t>
  </si>
  <si>
    <t>30% tax ruling, everyone speaks English / Terrible housing crisis</t>
  </si>
  <si>
    <t>Spain</t>
  </si>
  <si>
    <t>€50k-€80k</t>
  </si>
  <si>
    <t>Barcelona, Madrid, Valencia</t>
  </si>
  <si>
    <t>Amazing food/climate, social</t>
  </si>
  <si>
    <t>Warm-hearted, social, late-night culture; integrated expat communities; family-centric but welcoming to newcomers</t>
  </si>
  <si>
    <t>Growing hubs in BCN/MAD, Glovo, Cabify</t>
  </si>
  <si>
    <t>Mobile, E-commerce</t>
  </si>
  <si>
    <t>Amazon (BCN)</t>
  </si>
  <si>
    <t>Spanish</t>
  </si>
  <si>
    <t>HARD-MODERATE from Iran: salaries are lower and fewer companies sponsor, but the Digital Nomad/entrepreneur visa and remote-work route work; social life in English is possible in BCN/MAD only.</t>
  </si>
  <si>
    <t>Top tier lifestyle / Lower salaries, high taxes</t>
  </si>
  <si>
    <t>Finland</t>
  </si>
  <si>
    <t>€60k-€85k</t>
  </si>
  <si>
    <t>4-5 years</t>
  </si>
  <si>
    <t>UTC+2</t>
  </si>
  <si>
    <t>Helsinki, Espoo</t>
  </si>
  <si>
    <t>Nature-oriented, very cold, quiet</t>
  </si>
  <si>
    <t>Cold-blooded: quiet, reserved, honesty-first; friendships form slowly but are deep; expat groups help a lot in winter</t>
  </si>
  <si>
    <t>Gaming, Open Source, Telecoms</t>
  </si>
  <si>
    <t>Linux ecosystem, Mobile gaming</t>
  </si>
  <si>
    <t>Limited</t>
  </si>
  <si>
    <t>Sisu (resilience)</t>
  </si>
  <si>
    <t>HARD from Iran: tech hiring froze recently (Nokia/telecom layoffs); gaming studios (Supercell, Rovio) hire globally; relocation is well-supported by employers; long dark winters test morale.</t>
  </si>
  <si>
    <t>High happiness index / Dark winters, high tax</t>
  </si>
  <si>
    <t>Switzerland</t>
  </si>
  <si>
    <t>CHF 120k-180k</t>
  </si>
  <si>
    <t>10 years</t>
  </si>
  <si>
    <t>Zurich, Geneva</t>
  </si>
  <si>
    <t>Pristine nature, highly organized</t>
  </si>
  <si>
    <t>Cold-blooded and formal; friendships take years; strong expat bubbles in Zurich/Geneva soften this</t>
  </si>
  <si>
    <t>FinTech, Crypto, Data Science</t>
  </si>
  <si>
    <t>Google (Zurich) massive hub</t>
  </si>
  <si>
    <t>Precision engineering</t>
  </si>
  <si>
    <t>VERY HARD from Iran: employers prefer EU/ETA citizens first; non-EU quotas are tiny; realistically you need a PhD-level niche or internal transfer (e.g. Google); savings potential is elite if you get in.</t>
  </si>
  <si>
    <t>Incredible wealth and scenery / Insanely high COL, hard to integrate</t>
  </si>
  <si>
    <t>Sweden</t>
  </si>
  <si>
    <t>B</t>
  </si>
  <si>
    <t>€60k-€90k</t>
  </si>
  <si>
    <t>4 years</t>
  </si>
  <si>
    <t>Stockholm, Gothenburg</t>
  </si>
  <si>
    <t>High WLB, flat hierarchy, cold winters</t>
  </si>
  <si>
    <t>Cold-blooded in public, warm in private; fika culture; social circles formed at work or via clubs, not strangers</t>
  </si>
  <si>
    <t>Unicorn-heavy (Spotify, Klarna)</t>
  </si>
  <si>
    <t>High-scale consumer tech, gaming</t>
  </si>
  <si>
    <t>Amazon, Google</t>
  </si>
  <si>
    <t>Consensus-driven culture</t>
  </si>
  <si>
    <t>HARD from Iran: big-name employers (Spotify, Klarna) sponsor and are used to international hires; competition is fierce; Migration Agency process is transparent; bank account (swish) has delays for sanctioned nationals.</t>
  </si>
  <si>
    <t>Excellent social safety net / High taxes, housing queues</t>
  </si>
  <si>
    <t>Ireland</t>
  </si>
  <si>
    <t>UTC+0</t>
  </si>
  <si>
    <t>Dublin, Cork</t>
  </si>
  <si>
    <t>Friendly, rainy, severe housing shortage</t>
  </si>
  <si>
    <t>Warm-hearted, chatty, pub-centric social life; most socially accessible English-speaking EU country</t>
  </si>
  <si>
    <t>European HQ for US Big Tech</t>
  </si>
  <si>
    <t>SaaS, cloud infrastructure, AI</t>
  </si>
  <si>
    <t>Yes, nearly all EU HQs</t>
  </si>
  <si>
    <t>Cloud at scale</t>
  </si>
  <si>
    <t>MODERATE-EASY from Iran: critical-skills employment permit + English + US-tech HQs make relocation realistic; heavy LinkedIn recruiting; the housing crisis is the main pain, not the visa.</t>
  </si>
  <si>
    <t>English-speaking EU hub / Extreme housing crisis</t>
  </si>
  <si>
    <t>Poland</t>
  </si>
  <si>
    <t>€50k-€85k</t>
  </si>
  <si>
    <t>Warsaw, Krakow</t>
  </si>
  <si>
    <t>Rapidly developing, dynamic</t>
  </si>
  <si>
    <t>Moderately warm; formal at first, hospitable once introduced; large Iranian student/expat community in Krakow/Warsaw</t>
  </si>
  <si>
    <t>Huge outsourcing &amp; growing startup scene</t>
  </si>
  <si>
    <t>Enterprise, Backend, Cloud</t>
  </si>
  <si>
    <t>Google (Warsaw Cloud)</t>
  </si>
  <si>
    <t>B2B contracting structure</t>
  </si>
  <si>
    <t>MODERATE-EASY from Iran: huge demand + B2B contracting makes hiring Iranians common; national visa (D-type) via employer is standard; strong value-for-money savings; learning basic Polish helps daily life.</t>
  </si>
  <si>
    <t>Low tax via B2B, great savings rate / Language barrier</t>
  </si>
  <si>
    <t>Canada</t>
  </si>
  <si>
    <t>$100k-$160k (CAD)</t>
  </si>
  <si>
    <t>1-3 years (Express Entry)</t>
  </si>
  <si>
    <t>UTC-4 to -8</t>
  </si>
  <si>
    <t>Toronto, Vancouver, Montreal</t>
  </si>
  <si>
    <t>Cold, friendly, very high real estate</t>
  </si>
  <si>
    <t>Warm-hearted, multicultural, officially pro-immigration; easiest Western country to build a social life as a newcomer</t>
  </si>
  <si>
    <t>Solid US-spillover market, AI (Toronto)</t>
  </si>
  <si>
    <t>AI/ML (Vector Institute), Shopify ecosystem</t>
  </si>
  <si>
    <t>Yes, large satellite offices</t>
  </si>
  <si>
    <t>Working with US clients/timezones</t>
  </si>
  <si>
    <t>EASIEST structured route from Iran: Express Entry points-based PR lets you apply WITHOUT a job offer; also via study route; sanctions only affect proof-of-funds transfers; best overall visa certainty.</t>
  </si>
  <si>
    <t>Easy PR, path to US via TN / Lower pay than US, huge housing costs</t>
  </si>
  <si>
    <t>Portugal</t>
  </si>
  <si>
    <t>€45k-€70k</t>
  </si>
  <si>
    <t>Lisbon, Porto</t>
  </si>
  <si>
    <t>Sunny, relaxed, expat heavy</t>
  </si>
  <si>
    <t>Warm-hearted, relaxed, very expat-friendly; large international community; bureaucracy is slow but people are kind</t>
  </si>
  <si>
    <t>Huge nomad hub, Web Summit</t>
  </si>
  <si>
    <t>Web dev, remote outsourcing</t>
  </si>
  <si>
    <t>Cloud support</t>
  </si>
  <si>
    <t>Remote async work</t>
  </si>
  <si>
    <t>MODERATE from Iran: low local salaries; better as a remote-work/D7 visa base for a US/EU salary; Web Summit networking from Iran is viable (remote passes); AIMA processing is slow.</t>
  </si>
  <si>
    <t>Great lifestyle, easy visas / Low local salaries, rising COL</t>
  </si>
  <si>
    <t>Austria</t>
  </si>
  <si>
    <t>€65k-€90k</t>
  </si>
  <si>
    <t>Vienna, Graz</t>
  </si>
  <si>
    <t>High quality of life, arts</t>
  </si>
  <si>
    <t>Formal, reserved, old-world politeness; social life needs effort (clubs, Vereine); Viennese grumpiness is a stereotype with truth</t>
  </si>
  <si>
    <t>Stable, growing AI/Data science</t>
  </si>
  <si>
    <t>Enterprise software, data engineering</t>
  </si>
  <si>
    <t>German recommended</t>
  </si>
  <si>
    <t>HARD from Iran: Red-White-Red card is points-based and workable for senior engineers; market is mid-sized and German-leaning; daily life and healthcare work far better with basic German.</t>
  </si>
  <si>
    <t>Ranked #1 for livability / High taxes, slow progression</t>
  </si>
  <si>
    <t>Singapore</t>
  </si>
  <si>
    <t>$120k-$200k (SGD)</t>
  </si>
  <si>
    <t>Highly variable (often 3-5+ if ever)</t>
  </si>
  <si>
    <t>UTC+8</t>
  </si>
  <si>
    <t>Ultra-modern, tropical, strict laws</t>
  </si>
  <si>
    <t>Reserved but polite; very transactional social style; massive expat scene makes building a circle easy regardless</t>
  </si>
  <si>
    <t>APAC Tech Hub, Crypto &amp; AI</t>
  </si>
  <si>
    <t>FinTech, DeepTech, Web3, AI</t>
  </si>
  <si>
    <t>APAC HQs</t>
  </si>
  <si>
    <t>High-frequency trading architectures</t>
  </si>
  <si>
    <t>HARD from Iran: fair-consideration rules require genuine local search first; EP salary thresholds are high but senior FTE stacks pass; banks may ask extra questions due to sanctions; PR is the hard part.</t>
  </si>
  <si>
    <t>Low tax (15-22%), Native English / Extremely hard to get PR/Visas now</t>
  </si>
  <si>
    <t>Australia</t>
  </si>
  <si>
    <t>C</t>
  </si>
  <si>
    <t>$150k-$220k (AUD)</t>
  </si>
  <si>
    <t>3-4 years (Points based)</t>
  </si>
  <si>
    <t>UTC+10</t>
  </si>
  <si>
    <t>Sydney, Melbourne, Brisbane</t>
  </si>
  <si>
    <t>Excellent lifestyle, sunny, very high cost of living</t>
  </si>
  <si>
    <t>Warm-hearted, easy-going, pub/BBQ culture; very friendly to migrants; social life comes naturally</t>
  </si>
  <si>
    <t>Strong SaaS, FinTech, growing AI</t>
  </si>
  <si>
    <t>Cloud native, full-stack SaaS, data engineering</t>
  </si>
  <si>
    <t>Yes, engineering hubs</t>
  </si>
  <si>
    <t>System design for global scale</t>
  </si>
  <si>
    <t>MODERATE from Iran: skilled-independent 189/190 points visas let you apply offshore WITHOUT a job offer (like Canada); process is long but transparent; timezone isolation is the real downside.</t>
  </si>
  <si>
    <t>Top-tier WLB, native English / Extreme timezone isolation</t>
  </si>
  <si>
    <t>Germany</t>
  </si>
  <si>
    <t>3-5 years</t>
  </si>
  <si>
    <t>Berlin, Munich</t>
  </si>
  <si>
    <t>Bureaucratic but great tenant rights, cheap beer</t>
  </si>
  <si>
    <t>Cold-blooded at first contact; rule-driven; once a friendship forms (usually via clubs/work) it is loyal and warm</t>
  </si>
  <si>
    <t>Enterprise, Automotive, E-commerce</t>
  </si>
  <si>
    <t>Mobility, Enterprise Architecture</t>
  </si>
  <si>
    <t>Amazon, Apple (Munich)</t>
  </si>
  <si>
    <t>German compliance, strict engineering</t>
  </si>
  <si>
    <t>MODERATE-EASY from Iran: Chancenkarte (Opportunity Card) allows job-seeking entry; Berlin startup scene hires in English; authorities are slow; German matters for Anmeldung/healthcare paperwork.</t>
  </si>
  <si>
    <t>Strong economy, good WLB / High tax, German language barrier for daily life</t>
  </si>
  <si>
    <t>Czech</t>
  </si>
  <si>
    <t>€55k-€80k</t>
  </si>
  <si>
    <t>Prague, Brno</t>
  </si>
  <si>
    <t>Historic, affordable, central location</t>
  </si>
  <si>
    <t>Reserved and private; warm once trusted; large expat tech bubble in Prague operates fully in English</t>
  </si>
  <si>
    <t>Strong central EU tech hub, cybersecurity</t>
  </si>
  <si>
    <t>Security (Avast/Gen), backend</t>
  </si>
  <si>
    <t>Microsoft, Oracle</t>
  </si>
  <si>
    <t>Cybersecurity ops</t>
  </si>
  <si>
    <t>MODERATE from Iran: employee-card sponsorship is routine for tech; Prague offices (Google, Microsoft, Oracle) run in English; office-level dealings need Czech or a facilitator.</t>
  </si>
  <si>
    <t>Great COL to salary ratio / Bureaucracy</t>
  </si>
  <si>
    <t>UK</t>
  </si>
  <si>
    <t>£70k-£120k+</t>
  </si>
  <si>
    <t>London, Manchester</t>
  </si>
  <si>
    <t>Fast-paced, diverse, gloomy weather</t>
  </si>
  <si>
    <t>Warm-hearted, witty, pub-based social life; London diversity makes fitting in easy</t>
  </si>
  <si>
    <t>Top European VC hub, AI, FinTech</t>
  </si>
  <si>
    <t>DeepMind, FinTech, AI</t>
  </si>
  <si>
    <t>Massive presence</t>
  </si>
  <si>
    <t>Leading AI research, scaling</t>
  </si>
  <si>
    <t>MODERATE from Iran: Skilled Worker visa requires a sponsored offer (no points route); London startups/Big Tech sponsor regularly; visa fees + IHS surcharge are steep; immigration health surcharge adds up.</t>
  </si>
  <si>
    <t>EU's biggest tech hub, English / High taxes, high COL</t>
  </si>
  <si>
    <t>Turkey</t>
  </si>
  <si>
    <t>$40k-$70k</t>
  </si>
  <si>
    <t>5 years (or investment)</t>
  </si>
  <si>
    <t>UTC+3</t>
  </si>
  <si>
    <t>Istanbul, Ankara</t>
  </si>
  <si>
    <t>Vibrant, chaotic, great food</t>
  </si>
  <si>
    <t>Warm-hearted, hospitable, culturally close to Iran; easiest social/cultural comfort on this list; economic stress shows in daily life</t>
  </si>
  <si>
    <t>Gaming (Mobile), E-commerce (Trendyol)</t>
  </si>
  <si>
    <t>Mobile gaming, high-scale e-com</t>
  </si>
  <si>
    <t>Sales only</t>
  </si>
  <si>
    <t>Navigating hyperinflation economics</t>
  </si>
  <si>
    <t>EASY from Iran logistically (no visa needed to enter, large Iranian community) but salaries and currency stability are poor; best treated as a stepping stone or remote-work base, not a wealth play.</t>
  </si>
  <si>
    <t>Amazing culture, hub between EU/Asia / Economic instability, low pay</t>
  </si>
  <si>
    <t>Estonia</t>
  </si>
  <si>
    <t>Tallinn, Tartu</t>
  </si>
  <si>
    <t>Tech-forward, cold, digital society</t>
  </si>
  <si>
    <t>Cold-blooded and quiet; digital-first interactions replace small talk; small but tight expat tech community</t>
  </si>
  <si>
    <t>Highly digital, strong startup ecosystem</t>
  </si>
  <si>
    <t>Cloud, security, e-gov infra</t>
  </si>
  <si>
    <t>Startup equity mechanics</t>
  </si>
  <si>
    <t>MODERATE-EASY from Iran: e-Residency + startup visa ecosystem is digital and remote-friendly; D-visa sponsorship is fast and cheap; tiny market means fewer openings, but competition is also lower.</t>
  </si>
  <si>
    <t>Easy nomad visas, digital state / Small local market, cold</t>
  </si>
  <si>
    <t>D</t>
  </si>
  <si>
    <t>E</t>
  </si>
  <si>
    <t>Application Method</t>
  </si>
  <si>
    <t>Supported Countries / Regions</t>
  </si>
  <si>
    <t>Estimated Job Likelihood</t>
  </si>
  <si>
    <t>Estimated Time to Job (Months)</t>
  </si>
  <si>
    <t>Estimated Time to Visa (Months)</t>
  </si>
  <si>
    <t>Prerequisites to Prepare</t>
  </si>
  <si>
    <t>Additional Notes</t>
  </si>
  <si>
    <t>Point-based PR (Express Entry)</t>
  </si>
  <si>
    <t>Canada, Australia</t>
  </si>
  <si>
    <t>4-8 (post-arrival)</t>
  </si>
  <si>
    <t>9-18</t>
  </si>
  <si>
    <t>IELTS/PTE (High score), ECA (Degree evaluation), Proof of Funds</t>
  </si>
  <si>
    <t>Source-provided estimates, not guarantees. The 85% is unverified. Eligibility and invitations depend on current criteria and score; PR timing differs by program. Check whether fiancé can be included as an accompanying spouse/common-law partner or needs a separate route.</t>
  </si>
  <si>
    <t>Job Seeker Visas</t>
  </si>
  <si>
    <t>Germany, UAE, Portugal, Austria, Sweden</t>
  </si>
  <si>
    <t>1-4 (after arrival)</t>
  </si>
  <si>
    <t>2-4 (for initial visa)</t>
  </si>
  <si>
    <t>Blocked bank account (savings for 6 months), university degree verification</t>
  </si>
  <si>
    <t>The provided 80% refers to getting the visa, not likelihood of getting a job; job likelihood is unquantified. Source-provided timelines are estimates, not guarantees. Confirm eligibility, funds, and whether the visa permits job seeking and subsequent work authorization.</t>
  </si>
  <si>
    <t>Honeypot.io</t>
  </si>
  <si>
    <t>Germany, Netherlands, Austria, Switzerland, Spain, UK, Denmark, etc.</t>
  </si>
  <si>
    <t>1-3</t>
  </si>
  <si>
    <t>2-4</t>
  </si>
  <si>
    <t>Polished CV, English fluency, strong GitHub, pass their tech screening</t>
  </si>
  <si>
    <t>The provided source estimates a 75% job likelihood and these timelines, but they are not verified. Important: Honeypot's candidate platform was discontinued effective 1 January 2025; do not rely on the listed estimates or treat this as an active route. Search result indicates talent pool moved to XING.</t>
  </si>
  <si>
    <t>Relocate.me</t>
  </si>
  <si>
    <t>Global (EU, UK, Canada, UAE, Singapore, etc.)</t>
  </si>
  <si>
    <t>3-6</t>
  </si>
  <si>
    <t>Tailored CV, interview prep, portfolios</t>
  </si>
  <si>
    <t>Source-provided estimates, not guarantees. Specializes in jobs offering relocation packages; verify each live vacancy, country eligibility, sponsorship and dependent arrangements.</t>
  </si>
  <si>
    <t>Direct Application to Tech Hubs</t>
  </si>
  <si>
    <t>Estonia, Netherlands, Germany, Sweden, Finland</t>
  </si>
  <si>
    <t>Targeted cover letters, proof of senior experience</t>
  </si>
  <si>
    <t>Source-provided estimates, not guarantees. Check the current national work-permit route and employer sponsorship rules; a streamlined process is not guaranteed for every applicant.</t>
  </si>
  <si>
    <t>TechAbroad.io</t>
  </si>
  <si>
    <t>Global Tech Hubs (Europe, Canada, Aus)</t>
  </si>
  <si>
    <t>2-5</t>
  </si>
  <si>
    <t>Solid resume, active LinkedIn, tech stack alignment</t>
  </si>
  <si>
    <t>Source-provided estimates, not guarantees. Similar to Relocate.me; verify current listing activity, employer sponsorship and candidate-country eligibility.</t>
  </si>
  <si>
    <t>Targeted LinkedIn / Referrals</t>
  </si>
  <si>
    <t>All listed countries (USA, UK, Aus, EU, UAE, etc.)</t>
  </si>
  <si>
    <t>3-8</t>
  </si>
  <si>
    <t>Optimized LinkedIn, networking skills, LeetCode/System Design prep</t>
  </si>
  <si>
    <t>Source-provided estimates, not guarantees. Large volume may mean low response to cold applications; use thoughtful direct outreach to engineering leads and recruiters and prioritize referrals.</t>
  </si>
  <si>
    <t>NoDesk.co (Remote Work)</t>
  </si>
  <si>
    <t>Global (Can lead to Digital Nomad visas in Spain, Portugal, UAE, Estonia)</t>
  </si>
  <si>
    <t>4-8</t>
  </si>
  <si>
    <t>Proof of remote capability, independent contractor setup</t>
  </si>
  <si>
    <t>Source-provided estimates, not guarantees. Remote work does not itself confer relocation sponsorship or a visa; independently verify country-specific digital-nomad eligibility, income and dependent requirements.</t>
  </si>
  <si>
    <t>USA H-1B Lottery</t>
  </si>
  <si>
    <t>6-12</t>
  </si>
  <si>
    <t>8-14</t>
  </si>
  <si>
    <t>Sponsoring company, lottery selection (where applicable)</t>
  </si>
  <si>
    <t>Source-provided estimates, not guarantees. H-1B cap selection is not a generic fixed 20% chance; odds vary by registration volume and category. Timing and eligibility depend on current rules and employer sponsorship. Check current U.S. consular services and travel restrictions relevant to Iranian nationals before investing in the route.</t>
  </si>
  <si>
    <t>Refugee / Asylum Program</t>
  </si>
  <si>
    <t>Global (Usually EU, Canada, UK)</t>
  </si>
  <si>
    <t>12-36+</t>
  </si>
  <si>
    <t>12-60+</t>
  </si>
  <si>
    <t>Documented proof of immediate life-threatening persecution</t>
  </si>
  <si>
    <t>Not a job-search or relocation route. Asylum is protection for people who meet the legal refugee/protection criteria; do not claim it without genuine grounds. Work rights, processing time, travel-document rules and career restrictions vary by country and case. Source-provided percentages and timelines are unverified.</t>
  </si>
  <si>
    <t>Priority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</si>
</sst>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
  </numFmts>
  <fonts count="3" x14ac:knownFonts="1">
    <font>
      <sz val="11"/>
      <color theme="1"/>
      <name val="Calibri"/>
      <family val="2"/>
      <scheme val="minor"/>
    </font>
    <font>
      <b/>
      <sz val="11"/>
      <color rgb="FFFFFFFF"/>
      <name val="Calibri"/>
    </font>
    <font>
      <sz val="11"/>
      <color theme="1"/>
      <name val="Calibri"/>
      <family val="2"/>
      <scheme val="minor"/>
    </font>
  </fonts>
  <fills count="3">
    <fill>
      <patternFill patternType="none"/>
    </fill>
    <fill>
      <patternFill patternType="gray125"/>
    </fill>
    <fill>
      <patternFill patternType="solid">
        <fgColor theme="3"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12">
    <xf numFmtId="0" fontId="0" fillId="0" borderId="0" xfId="0"/>
    <xf numFmtId="0" fontId="0" fillId="0" borderId="0" xfId="0" applyFill="1"/>
    <xf numFmtId="0" fontId="1" fillId="2" borderId="1" xfId="0" applyFont="1" applyFill="1" applyBorder="1" applyAlignment="1">
      <alignment horizontal="center" vertical="center" wrapText="1"/>
    </xf>
    <xf numFmtId="0" fontId="0" fillId="0" borderId="1" xfId="0" applyFill="1" applyBorder="1"/>
    <xf numFmtId="9" fontId="1" fillId="2" borderId="1" xfId="1" applyFont="1" applyFill="1" applyBorder="1" applyAlignment="1">
      <alignment horizontal="center" vertical="center" wrapText="1"/>
    </xf>
    <xf numFmtId="9" fontId="0" fillId="0" borderId="1" xfId="1" applyFont="1" applyFill="1" applyBorder="1"/>
    <xf numFmtId="9" fontId="0" fillId="0" borderId="0" xfId="1" applyFont="1"/>
    <xf numFmtId="168" fontId="1" fillId="2" borderId="1" xfId="0" applyNumberFormat="1" applyFont="1" applyFill="1" applyBorder="1" applyAlignment="1">
      <alignment horizontal="center" vertical="center" wrapText="1"/>
    </xf>
    <xf numFmtId="168" fontId="0" fillId="0" borderId="1" xfId="0" applyNumberFormat="1" applyFill="1" applyBorder="1"/>
    <xf numFmtId="3" fontId="1" fillId="2" borderId="1" xfId="0" applyNumberFormat="1" applyFont="1" applyFill="1" applyBorder="1" applyAlignment="1">
      <alignment horizontal="center" vertical="center" wrapText="1"/>
    </xf>
    <xf numFmtId="3" fontId="0" fillId="0" borderId="1" xfId="0" applyNumberFormat="1" applyFill="1" applyBorder="1"/>
    <xf numFmtId="3" fontId="0" fillId="0" borderId="0" xfId="0" applyNumberFormat="1" applyFill="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23"/>
  <sheetViews>
    <sheetView workbookViewId="0">
      <pane xSplit="1" ySplit="1" topLeftCell="B2" activePane="bottomRight" state="frozen"/>
      <selection pane="topRight" activeCell="B1" sqref="B1"/>
      <selection pane="bottomLeft" activeCell="A2" sqref="A2"/>
      <selection pane="bottomRight" activeCell="G9" sqref="G9"/>
    </sheetView>
  </sheetViews>
  <sheetFormatPr defaultRowHeight="15" x14ac:dyDescent="0.25"/>
  <cols>
    <col min="1" max="1" width="12.5703125" style="1" bestFit="1" customWidth="1"/>
    <col min="2" max="2" width="9" style="1" bestFit="1" customWidth="1"/>
    <col min="3" max="3" width="20.28515625" style="1" bestFit="1" customWidth="1"/>
    <col min="4" max="4" width="28" style="11" bestFit="1" customWidth="1"/>
    <col min="5" max="5" width="19.85546875" style="11" bestFit="1" customWidth="1"/>
    <col min="6" max="6" width="26.85546875" style="11" bestFit="1" customWidth="1"/>
    <col min="7" max="7" width="41.85546875" style="11" bestFit="1" customWidth="1"/>
    <col min="8" max="8" width="30.42578125" style="11" bestFit="1" customWidth="1"/>
    <col min="9" max="9" width="26.5703125" style="11" bestFit="1" customWidth="1"/>
    <col min="10" max="10" width="25" style="11" bestFit="1" customWidth="1"/>
    <col min="11" max="11" width="37.42578125" style="11" bestFit="1" customWidth="1"/>
    <col min="12" max="12" width="26.5703125" style="11" bestFit="1" customWidth="1"/>
    <col min="13" max="13" width="26.28515625" style="11" bestFit="1" customWidth="1"/>
    <col min="14" max="14" width="27.42578125" style="11" bestFit="1" customWidth="1"/>
    <col min="15" max="15" width="29.5703125" style="11" bestFit="1" customWidth="1"/>
    <col min="16" max="16" width="35.85546875" style="11" bestFit="1" customWidth="1"/>
    <col min="17" max="17" width="30.5703125" style="11" bestFit="1" customWidth="1"/>
    <col min="18" max="18" width="24.28515625" style="11" bestFit="1" customWidth="1"/>
    <col min="19" max="19" width="32.7109375" style="11" bestFit="1" customWidth="1"/>
    <col min="20" max="20" width="32.28515625" style="11" bestFit="1" customWidth="1"/>
    <col min="21" max="21" width="27.28515625" style="11" bestFit="1" customWidth="1"/>
    <col min="22" max="22" width="31.85546875" style="1" bestFit="1" customWidth="1"/>
    <col min="23" max="23" width="14.28515625" style="1" bestFit="1" customWidth="1"/>
    <col min="24" max="24" width="28.140625" style="1" bestFit="1" customWidth="1"/>
    <col min="25" max="25" width="45" style="1" bestFit="1" customWidth="1"/>
    <col min="26" max="26" width="117.42578125" style="1" bestFit="1" customWidth="1"/>
    <col min="27" max="27" width="39.140625" style="1" bestFit="1" customWidth="1"/>
    <col min="28" max="28" width="42.85546875" style="1" bestFit="1" customWidth="1"/>
    <col min="29" max="29" width="26.5703125" style="1" bestFit="1" customWidth="1"/>
    <col min="30" max="30" width="41.42578125" style="1" bestFit="1" customWidth="1"/>
    <col min="31" max="31" width="212.7109375" style="1" bestFit="1" customWidth="1"/>
    <col min="32" max="32" width="71.85546875" style="1" bestFit="1" customWidth="1"/>
    <col min="33" max="16384" width="9.140625" style="1"/>
  </cols>
  <sheetData>
    <row r="1" spans="1:32" x14ac:dyDescent="0.25">
      <c r="A1" s="7" t="s">
        <v>0</v>
      </c>
      <c r="B1" s="7" t="s">
        <v>1</v>
      </c>
      <c r="C1" s="7"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7" t="s">
        <v>21</v>
      </c>
      <c r="W1" s="7" t="s">
        <v>22</v>
      </c>
      <c r="X1" s="7" t="s">
        <v>23</v>
      </c>
      <c r="Y1" s="7" t="s">
        <v>24</v>
      </c>
      <c r="Z1" s="7" t="s">
        <v>25</v>
      </c>
      <c r="AA1" s="7" t="s">
        <v>26</v>
      </c>
      <c r="AB1" s="7" t="s">
        <v>27</v>
      </c>
      <c r="AC1" s="7" t="s">
        <v>28</v>
      </c>
      <c r="AD1" s="7" t="s">
        <v>29</v>
      </c>
      <c r="AE1" s="7" t="s">
        <v>30</v>
      </c>
      <c r="AF1" s="7" t="s">
        <v>31</v>
      </c>
    </row>
    <row r="2" spans="1:32" x14ac:dyDescent="0.25">
      <c r="A2" s="8" t="s">
        <v>32</v>
      </c>
      <c r="B2" s="8" t="s">
        <v>46</v>
      </c>
      <c r="C2" s="8" t="s">
        <v>33</v>
      </c>
      <c r="D2" s="10">
        <v>225000</v>
      </c>
      <c r="E2" s="10">
        <v>100</v>
      </c>
      <c r="F2" s="10">
        <v>100</v>
      </c>
      <c r="G2" s="10">
        <v>50</v>
      </c>
      <c r="H2" s="10">
        <v>65</v>
      </c>
      <c r="I2" s="10">
        <v>60</v>
      </c>
      <c r="J2" s="10">
        <v>20</v>
      </c>
      <c r="K2" s="10">
        <v>60</v>
      </c>
      <c r="L2" s="10">
        <v>100</v>
      </c>
      <c r="M2" s="10">
        <v>100</v>
      </c>
      <c r="N2" s="10">
        <v>100</v>
      </c>
      <c r="O2" s="10">
        <v>100</v>
      </c>
      <c r="P2" s="10">
        <v>65000</v>
      </c>
      <c r="Q2" s="10">
        <v>95</v>
      </c>
      <c r="R2" s="10">
        <v>3</v>
      </c>
      <c r="S2" s="10">
        <v>5</v>
      </c>
      <c r="T2" s="10">
        <v>25</v>
      </c>
      <c r="U2" s="10">
        <f t="shared" ref="U2:U23" si="0">ROUND(E2*0.1+F2*0.1+G2*0.1+H2*0.05+I2*0.05+J2*0.15+K2*0.1+M2*0.1+N2*0.05+O2*0.05+Q2*0.05+R2*0.05+S2*0.05+T2*0.1,1)</f>
        <v>67.900000000000006</v>
      </c>
      <c r="V2" s="8" t="s">
        <v>34</v>
      </c>
      <c r="W2" s="8" t="s">
        <v>35</v>
      </c>
      <c r="X2" s="8" t="s">
        <v>36</v>
      </c>
      <c r="Y2" s="8" t="s">
        <v>37</v>
      </c>
      <c r="Z2" s="8" t="s">
        <v>38</v>
      </c>
      <c r="AA2" s="8" t="s">
        <v>39</v>
      </c>
      <c r="AB2" s="8" t="s">
        <v>40</v>
      </c>
      <c r="AC2" s="8" t="s">
        <v>41</v>
      </c>
      <c r="AD2" s="8" t="s">
        <v>42</v>
      </c>
      <c r="AE2" s="8" t="s">
        <v>43</v>
      </c>
      <c r="AF2" s="8" t="s">
        <v>44</v>
      </c>
    </row>
    <row r="3" spans="1:32" x14ac:dyDescent="0.25">
      <c r="A3" s="8" t="s">
        <v>131</v>
      </c>
      <c r="B3" s="8" t="s">
        <v>143</v>
      </c>
      <c r="C3" s="8" t="s">
        <v>132</v>
      </c>
      <c r="D3" s="10">
        <v>165000</v>
      </c>
      <c r="E3" s="10">
        <v>100</v>
      </c>
      <c r="F3" s="10">
        <v>80</v>
      </c>
      <c r="G3" s="10">
        <v>30</v>
      </c>
      <c r="H3" s="10">
        <v>85</v>
      </c>
      <c r="I3" s="10">
        <v>100</v>
      </c>
      <c r="J3" s="10">
        <v>40</v>
      </c>
      <c r="K3" s="10">
        <v>70</v>
      </c>
      <c r="L3" s="10">
        <v>75</v>
      </c>
      <c r="M3" s="10">
        <v>75</v>
      </c>
      <c r="N3" s="10">
        <v>65</v>
      </c>
      <c r="O3" s="10">
        <v>90</v>
      </c>
      <c r="P3" s="10">
        <v>60000</v>
      </c>
      <c r="Q3" s="10">
        <v>85</v>
      </c>
      <c r="R3" s="10">
        <v>4</v>
      </c>
      <c r="S3" s="10">
        <v>6</v>
      </c>
      <c r="T3" s="10">
        <v>75</v>
      </c>
      <c r="U3" s="10">
        <f t="shared" si="0"/>
        <v>70.8</v>
      </c>
      <c r="V3" s="8" t="s">
        <v>133</v>
      </c>
      <c r="W3" s="8" t="s">
        <v>73</v>
      </c>
      <c r="X3" s="8" t="s">
        <v>134</v>
      </c>
      <c r="Y3" s="8" t="s">
        <v>135</v>
      </c>
      <c r="Z3" s="8" t="s">
        <v>136</v>
      </c>
      <c r="AA3" s="8" t="s">
        <v>137</v>
      </c>
      <c r="AB3" s="8" t="s">
        <v>137</v>
      </c>
      <c r="AC3" s="8" t="s">
        <v>138</v>
      </c>
      <c r="AD3" s="8" t="s">
        <v>139</v>
      </c>
      <c r="AE3" s="8" t="s">
        <v>140</v>
      </c>
      <c r="AF3" s="8" t="s">
        <v>141</v>
      </c>
    </row>
    <row r="4" spans="1:32" x14ac:dyDescent="0.25">
      <c r="A4" s="8" t="s">
        <v>45</v>
      </c>
      <c r="B4" s="8" t="s">
        <v>143</v>
      </c>
      <c r="C4" s="8" t="s">
        <v>47</v>
      </c>
      <c r="D4" s="10">
        <v>115000</v>
      </c>
      <c r="E4" s="10">
        <v>90</v>
      </c>
      <c r="F4" s="10">
        <v>80</v>
      </c>
      <c r="G4" s="10">
        <v>60</v>
      </c>
      <c r="H4" s="10">
        <v>100</v>
      </c>
      <c r="I4" s="10">
        <v>85</v>
      </c>
      <c r="J4" s="10">
        <v>95</v>
      </c>
      <c r="K4" s="10">
        <v>85</v>
      </c>
      <c r="L4" s="10">
        <v>85</v>
      </c>
      <c r="M4" s="10">
        <v>90</v>
      </c>
      <c r="N4" s="10">
        <v>85</v>
      </c>
      <c r="O4" s="10">
        <v>70</v>
      </c>
      <c r="P4" s="10">
        <v>57500</v>
      </c>
      <c r="Q4" s="10">
        <v>85</v>
      </c>
      <c r="R4" s="10">
        <v>6</v>
      </c>
      <c r="S4" s="10">
        <v>8</v>
      </c>
      <c r="T4" s="10">
        <v>90</v>
      </c>
      <c r="U4" s="10">
        <f t="shared" si="0"/>
        <v>85.7</v>
      </c>
      <c r="V4" s="8" t="s">
        <v>48</v>
      </c>
      <c r="W4" s="8" t="s">
        <v>49</v>
      </c>
      <c r="X4" s="8" t="s">
        <v>50</v>
      </c>
      <c r="Y4" s="8" t="s">
        <v>51</v>
      </c>
      <c r="Z4" s="8" t="s">
        <v>52</v>
      </c>
      <c r="AA4" s="8" t="s">
        <v>53</v>
      </c>
      <c r="AB4" s="8" t="s">
        <v>54</v>
      </c>
      <c r="AC4" s="8" t="s">
        <v>55</v>
      </c>
      <c r="AD4" s="8" t="s">
        <v>56</v>
      </c>
      <c r="AE4" s="8" t="s">
        <v>57</v>
      </c>
      <c r="AF4" s="8" t="s">
        <v>58</v>
      </c>
    </row>
    <row r="5" spans="1:32" x14ac:dyDescent="0.25">
      <c r="A5" s="8" t="s">
        <v>211</v>
      </c>
      <c r="B5" s="8" t="s">
        <v>224</v>
      </c>
      <c r="C5" s="8" t="s">
        <v>212</v>
      </c>
      <c r="D5" s="10">
        <v>160000</v>
      </c>
      <c r="E5" s="10">
        <v>90</v>
      </c>
      <c r="F5" s="10">
        <v>95</v>
      </c>
      <c r="G5" s="10">
        <v>30</v>
      </c>
      <c r="H5" s="10">
        <v>90</v>
      </c>
      <c r="I5" s="10">
        <v>95</v>
      </c>
      <c r="J5" s="10">
        <v>40</v>
      </c>
      <c r="K5" s="10">
        <v>50</v>
      </c>
      <c r="L5" s="10">
        <v>100</v>
      </c>
      <c r="M5" s="10">
        <v>90</v>
      </c>
      <c r="N5" s="10">
        <v>80</v>
      </c>
      <c r="O5" s="10">
        <v>95</v>
      </c>
      <c r="P5" s="10">
        <v>50000</v>
      </c>
      <c r="Q5" s="10">
        <v>80</v>
      </c>
      <c r="R5" s="10">
        <v>5</v>
      </c>
      <c r="S5" s="10">
        <v>7</v>
      </c>
      <c r="T5" s="10">
        <v>90</v>
      </c>
      <c r="U5" s="10">
        <f t="shared" si="0"/>
        <v>73.099999999999994</v>
      </c>
      <c r="V5" s="8" t="s">
        <v>213</v>
      </c>
      <c r="W5" s="8" t="s">
        <v>214</v>
      </c>
      <c r="X5" s="8" t="s">
        <v>211</v>
      </c>
      <c r="Y5" s="8" t="s">
        <v>215</v>
      </c>
      <c r="Z5" s="8" t="s">
        <v>216</v>
      </c>
      <c r="AA5" s="8" t="s">
        <v>217</v>
      </c>
      <c r="AB5" s="8" t="s">
        <v>218</v>
      </c>
      <c r="AC5" s="8" t="s">
        <v>219</v>
      </c>
      <c r="AD5" s="8" t="s">
        <v>220</v>
      </c>
      <c r="AE5" s="8" t="s">
        <v>221</v>
      </c>
      <c r="AF5" s="8" t="s">
        <v>222</v>
      </c>
    </row>
    <row r="6" spans="1:32" x14ac:dyDescent="0.25">
      <c r="A6" s="8" t="s">
        <v>223</v>
      </c>
      <c r="B6" s="8" t="s">
        <v>292</v>
      </c>
      <c r="C6" s="8" t="s">
        <v>225</v>
      </c>
      <c r="D6" s="10">
        <v>185000</v>
      </c>
      <c r="E6" s="10">
        <v>85</v>
      </c>
      <c r="F6" s="10">
        <v>85</v>
      </c>
      <c r="G6" s="10">
        <v>40</v>
      </c>
      <c r="H6" s="10">
        <v>65</v>
      </c>
      <c r="I6" s="10">
        <v>90</v>
      </c>
      <c r="J6" s="10">
        <v>65</v>
      </c>
      <c r="K6" s="10">
        <v>65</v>
      </c>
      <c r="L6" s="10">
        <v>100</v>
      </c>
      <c r="M6" s="10">
        <v>95</v>
      </c>
      <c r="N6" s="10">
        <v>90</v>
      </c>
      <c r="O6" s="10">
        <v>85</v>
      </c>
      <c r="P6" s="10">
        <v>55000</v>
      </c>
      <c r="Q6" s="10">
        <v>80</v>
      </c>
      <c r="R6" s="10">
        <v>9</v>
      </c>
      <c r="S6" s="10">
        <v>9</v>
      </c>
      <c r="T6" s="10">
        <v>95</v>
      </c>
      <c r="U6" s="10">
        <f t="shared" si="0"/>
        <v>77.7</v>
      </c>
      <c r="V6" s="8" t="s">
        <v>226</v>
      </c>
      <c r="W6" s="8" t="s">
        <v>227</v>
      </c>
      <c r="X6" s="8" t="s">
        <v>228</v>
      </c>
      <c r="Y6" s="8" t="s">
        <v>229</v>
      </c>
      <c r="Z6" s="8" t="s">
        <v>230</v>
      </c>
      <c r="AA6" s="8" t="s">
        <v>231</v>
      </c>
      <c r="AB6" s="8" t="s">
        <v>232</v>
      </c>
      <c r="AC6" s="8" t="s">
        <v>233</v>
      </c>
      <c r="AD6" s="8" t="s">
        <v>234</v>
      </c>
      <c r="AE6" s="8" t="s">
        <v>235</v>
      </c>
      <c r="AF6" s="8" t="s">
        <v>236</v>
      </c>
    </row>
    <row r="7" spans="1:32" x14ac:dyDescent="0.25">
      <c r="A7" s="8" t="s">
        <v>177</v>
      </c>
      <c r="B7" s="8" t="s">
        <v>224</v>
      </c>
      <c r="C7" s="8" t="s">
        <v>178</v>
      </c>
      <c r="D7" s="10">
        <v>130000</v>
      </c>
      <c r="E7" s="10">
        <v>75</v>
      </c>
      <c r="F7" s="10">
        <v>80</v>
      </c>
      <c r="G7" s="10">
        <v>45</v>
      </c>
      <c r="H7" s="10">
        <v>55</v>
      </c>
      <c r="I7" s="10">
        <v>70</v>
      </c>
      <c r="J7" s="10">
        <v>90</v>
      </c>
      <c r="K7" s="10">
        <v>75</v>
      </c>
      <c r="L7" s="10">
        <v>100</v>
      </c>
      <c r="M7" s="10">
        <v>95</v>
      </c>
      <c r="N7" s="10">
        <v>90</v>
      </c>
      <c r="O7" s="10">
        <v>80</v>
      </c>
      <c r="P7" s="10">
        <v>35000</v>
      </c>
      <c r="Q7" s="10">
        <v>75</v>
      </c>
      <c r="R7" s="10">
        <v>8</v>
      </c>
      <c r="S7" s="10">
        <v>8</v>
      </c>
      <c r="T7" s="10">
        <v>95</v>
      </c>
      <c r="U7" s="10">
        <f t="shared" si="0"/>
        <v>79.3</v>
      </c>
      <c r="V7" s="8" t="s">
        <v>179</v>
      </c>
      <c r="W7" s="8" t="s">
        <v>180</v>
      </c>
      <c r="X7" s="8" t="s">
        <v>181</v>
      </c>
      <c r="Y7" s="8" t="s">
        <v>182</v>
      </c>
      <c r="Z7" s="8" t="s">
        <v>183</v>
      </c>
      <c r="AA7" s="8" t="s">
        <v>184</v>
      </c>
      <c r="AB7" s="8" t="s">
        <v>185</v>
      </c>
      <c r="AC7" s="8" t="s">
        <v>186</v>
      </c>
      <c r="AD7" s="8" t="s">
        <v>187</v>
      </c>
      <c r="AE7" s="8" t="s">
        <v>188</v>
      </c>
      <c r="AF7" s="8" t="s">
        <v>189</v>
      </c>
    </row>
    <row r="8" spans="1:32" x14ac:dyDescent="0.25">
      <c r="A8" s="8" t="s">
        <v>155</v>
      </c>
      <c r="B8" s="8" t="s">
        <v>224</v>
      </c>
      <c r="C8" s="8" t="s">
        <v>84</v>
      </c>
      <c r="D8" s="10">
        <v>100000</v>
      </c>
      <c r="E8" s="10">
        <v>85</v>
      </c>
      <c r="F8" s="10">
        <v>90</v>
      </c>
      <c r="G8" s="10">
        <v>35</v>
      </c>
      <c r="H8" s="10">
        <v>60</v>
      </c>
      <c r="I8" s="10">
        <v>75</v>
      </c>
      <c r="J8" s="10">
        <v>70</v>
      </c>
      <c r="K8" s="10">
        <v>75</v>
      </c>
      <c r="L8" s="10">
        <v>100</v>
      </c>
      <c r="M8" s="10">
        <v>100</v>
      </c>
      <c r="N8" s="10">
        <v>100</v>
      </c>
      <c r="O8" s="10">
        <v>90</v>
      </c>
      <c r="P8" s="10">
        <v>35000</v>
      </c>
      <c r="Q8" s="10">
        <v>70</v>
      </c>
      <c r="R8" s="10">
        <v>9</v>
      </c>
      <c r="S8" s="10">
        <v>9</v>
      </c>
      <c r="T8" s="10">
        <v>95</v>
      </c>
      <c r="U8" s="10">
        <f t="shared" si="0"/>
        <v>79.2</v>
      </c>
      <c r="V8" s="8" t="s">
        <v>97</v>
      </c>
      <c r="W8" s="8" t="s">
        <v>156</v>
      </c>
      <c r="X8" s="8" t="s">
        <v>157</v>
      </c>
      <c r="Y8" s="8" t="s">
        <v>158</v>
      </c>
      <c r="Z8" s="8" t="s">
        <v>159</v>
      </c>
      <c r="AA8" s="8" t="s">
        <v>160</v>
      </c>
      <c r="AB8" s="8" t="s">
        <v>161</v>
      </c>
      <c r="AC8" s="8" t="s">
        <v>162</v>
      </c>
      <c r="AD8" s="8" t="s">
        <v>163</v>
      </c>
      <c r="AE8" s="8" t="s">
        <v>164</v>
      </c>
      <c r="AF8" s="8" t="s">
        <v>165</v>
      </c>
    </row>
    <row r="9" spans="1:32" x14ac:dyDescent="0.25">
      <c r="A9" s="8" t="s">
        <v>259</v>
      </c>
      <c r="B9" s="8" t="s">
        <v>292</v>
      </c>
      <c r="C9" s="8" t="s">
        <v>260</v>
      </c>
      <c r="D9" s="10">
        <v>95000</v>
      </c>
      <c r="E9" s="10">
        <v>85</v>
      </c>
      <c r="F9" s="10">
        <v>90</v>
      </c>
      <c r="G9" s="10">
        <v>40</v>
      </c>
      <c r="H9" s="10">
        <v>50</v>
      </c>
      <c r="I9" s="10">
        <v>75</v>
      </c>
      <c r="J9" s="10">
        <v>65</v>
      </c>
      <c r="K9" s="10">
        <v>65</v>
      </c>
      <c r="L9" s="10">
        <v>100</v>
      </c>
      <c r="M9" s="10">
        <v>100</v>
      </c>
      <c r="N9" s="10">
        <v>100</v>
      </c>
      <c r="O9" s="10">
        <v>90</v>
      </c>
      <c r="P9" s="10">
        <v>30000</v>
      </c>
      <c r="Q9" s="10">
        <v>70</v>
      </c>
      <c r="R9" s="10">
        <v>8</v>
      </c>
      <c r="S9" s="10">
        <v>8</v>
      </c>
      <c r="T9" s="10">
        <v>90</v>
      </c>
      <c r="U9" s="10">
        <f t="shared" si="0"/>
        <v>76.8</v>
      </c>
      <c r="V9" s="8" t="s">
        <v>97</v>
      </c>
      <c r="W9" s="8" t="s">
        <v>156</v>
      </c>
      <c r="X9" s="8" t="s">
        <v>261</v>
      </c>
      <c r="Y9" s="8" t="s">
        <v>262</v>
      </c>
      <c r="Z9" s="8" t="s">
        <v>263</v>
      </c>
      <c r="AA9" s="8" t="s">
        <v>264</v>
      </c>
      <c r="AB9" s="8" t="s">
        <v>265</v>
      </c>
      <c r="AC9" s="8" t="s">
        <v>266</v>
      </c>
      <c r="AD9" s="8" t="s">
        <v>267</v>
      </c>
      <c r="AE9" s="8" t="s">
        <v>268</v>
      </c>
      <c r="AF9" s="8" t="s">
        <v>269</v>
      </c>
    </row>
    <row r="10" spans="1:32" x14ac:dyDescent="0.25">
      <c r="A10" s="8" t="s">
        <v>95</v>
      </c>
      <c r="B10" s="8" t="s">
        <v>143</v>
      </c>
      <c r="C10" s="8" t="s">
        <v>96</v>
      </c>
      <c r="D10" s="10">
        <v>95000</v>
      </c>
      <c r="E10" s="10">
        <v>80</v>
      </c>
      <c r="F10" s="10">
        <v>85</v>
      </c>
      <c r="G10" s="10">
        <v>50</v>
      </c>
      <c r="H10" s="10">
        <v>75</v>
      </c>
      <c r="I10" s="10">
        <v>85</v>
      </c>
      <c r="J10" s="10">
        <v>85</v>
      </c>
      <c r="K10" s="10">
        <v>75</v>
      </c>
      <c r="L10" s="10">
        <v>95</v>
      </c>
      <c r="M10" s="10">
        <v>95</v>
      </c>
      <c r="N10" s="10">
        <v>95</v>
      </c>
      <c r="O10" s="10">
        <v>85</v>
      </c>
      <c r="P10" s="10">
        <v>30000</v>
      </c>
      <c r="Q10" s="10">
        <v>65</v>
      </c>
      <c r="R10" s="10">
        <v>6</v>
      </c>
      <c r="S10" s="10">
        <v>7</v>
      </c>
      <c r="T10" s="10">
        <v>90</v>
      </c>
      <c r="U10" s="10">
        <f t="shared" si="0"/>
        <v>81.2</v>
      </c>
      <c r="V10" s="8" t="s">
        <v>97</v>
      </c>
      <c r="W10" s="8" t="s">
        <v>73</v>
      </c>
      <c r="X10" s="8" t="s">
        <v>98</v>
      </c>
      <c r="Y10" s="8" t="s">
        <v>99</v>
      </c>
      <c r="Z10" s="8" t="s">
        <v>100</v>
      </c>
      <c r="AA10" s="8" t="s">
        <v>101</v>
      </c>
      <c r="AB10" s="8" t="s">
        <v>102</v>
      </c>
      <c r="AC10" s="8" t="s">
        <v>103</v>
      </c>
      <c r="AD10" s="8" t="s">
        <v>104</v>
      </c>
      <c r="AE10" s="8" t="s">
        <v>105</v>
      </c>
      <c r="AF10" s="8" t="s">
        <v>106</v>
      </c>
    </row>
    <row r="11" spans="1:32" x14ac:dyDescent="0.25">
      <c r="A11" s="8" t="s">
        <v>59</v>
      </c>
      <c r="B11" s="8" t="s">
        <v>143</v>
      </c>
      <c r="C11" s="8" t="s">
        <v>60</v>
      </c>
      <c r="D11" s="10">
        <v>75000</v>
      </c>
      <c r="E11" s="10">
        <v>75</v>
      </c>
      <c r="F11" s="10">
        <v>50</v>
      </c>
      <c r="G11" s="10">
        <v>75</v>
      </c>
      <c r="H11" s="10">
        <v>100</v>
      </c>
      <c r="I11" s="10">
        <v>70</v>
      </c>
      <c r="J11" s="10">
        <v>95</v>
      </c>
      <c r="K11" s="10">
        <v>85</v>
      </c>
      <c r="L11" s="10">
        <v>70</v>
      </c>
      <c r="M11" s="10">
        <v>70</v>
      </c>
      <c r="N11" s="10">
        <v>65</v>
      </c>
      <c r="O11" s="10">
        <v>50</v>
      </c>
      <c r="P11" s="10">
        <v>37500</v>
      </c>
      <c r="Q11" s="10">
        <v>60</v>
      </c>
      <c r="R11" s="10">
        <v>6</v>
      </c>
      <c r="S11" s="10">
        <v>6</v>
      </c>
      <c r="T11" s="10">
        <v>70</v>
      </c>
      <c r="U11" s="10">
        <f t="shared" si="0"/>
        <v>74.599999999999994</v>
      </c>
      <c r="V11" s="8"/>
      <c r="W11" s="8" t="s">
        <v>49</v>
      </c>
      <c r="X11" s="8" t="s">
        <v>61</v>
      </c>
      <c r="Y11" s="8" t="s">
        <v>62</v>
      </c>
      <c r="Z11" s="8" t="s">
        <v>63</v>
      </c>
      <c r="AA11" s="8" t="s">
        <v>64</v>
      </c>
      <c r="AB11" s="8" t="s">
        <v>65</v>
      </c>
      <c r="AC11" s="8" t="s">
        <v>66</v>
      </c>
      <c r="AD11" s="8" t="s">
        <v>67</v>
      </c>
      <c r="AE11" s="8" t="s">
        <v>68</v>
      </c>
      <c r="AF11" s="8" t="s">
        <v>69</v>
      </c>
    </row>
    <row r="12" spans="1:32" x14ac:dyDescent="0.25">
      <c r="A12" s="8" t="s">
        <v>166</v>
      </c>
      <c r="B12" s="8" t="s">
        <v>224</v>
      </c>
      <c r="C12" s="8" t="s">
        <v>167</v>
      </c>
      <c r="D12" s="10">
        <v>67500</v>
      </c>
      <c r="E12" s="10">
        <v>65</v>
      </c>
      <c r="F12" s="10">
        <v>75</v>
      </c>
      <c r="G12" s="10">
        <v>80</v>
      </c>
      <c r="H12" s="10">
        <v>85</v>
      </c>
      <c r="I12" s="10">
        <v>70</v>
      </c>
      <c r="J12" s="10">
        <v>75</v>
      </c>
      <c r="K12" s="10">
        <v>70</v>
      </c>
      <c r="L12" s="10">
        <v>75</v>
      </c>
      <c r="M12" s="10">
        <v>80</v>
      </c>
      <c r="N12" s="10">
        <v>70</v>
      </c>
      <c r="O12" s="10">
        <v>65</v>
      </c>
      <c r="P12" s="10">
        <v>28000</v>
      </c>
      <c r="Q12" s="10">
        <v>60</v>
      </c>
      <c r="R12" s="10">
        <v>5</v>
      </c>
      <c r="S12" s="10">
        <v>6</v>
      </c>
      <c r="T12" s="10">
        <v>80</v>
      </c>
      <c r="U12" s="10">
        <f t="shared" si="0"/>
        <v>74.3</v>
      </c>
      <c r="V12" s="8" t="s">
        <v>97</v>
      </c>
      <c r="W12" s="8" t="s">
        <v>73</v>
      </c>
      <c r="X12" s="8" t="s">
        <v>168</v>
      </c>
      <c r="Y12" s="8" t="s">
        <v>169</v>
      </c>
      <c r="Z12" s="8" t="s">
        <v>170</v>
      </c>
      <c r="AA12" s="8" t="s">
        <v>171</v>
      </c>
      <c r="AB12" s="8" t="s">
        <v>172</v>
      </c>
      <c r="AC12" s="8" t="s">
        <v>173</v>
      </c>
      <c r="AD12" s="8" t="s">
        <v>174</v>
      </c>
      <c r="AE12" s="8" t="s">
        <v>175</v>
      </c>
      <c r="AF12" s="8" t="s">
        <v>176</v>
      </c>
    </row>
    <row r="13" spans="1:32" x14ac:dyDescent="0.25">
      <c r="A13" s="8" t="s">
        <v>237</v>
      </c>
      <c r="B13" s="8" t="s">
        <v>292</v>
      </c>
      <c r="C13" s="8" t="s">
        <v>71</v>
      </c>
      <c r="D13" s="10">
        <v>92500</v>
      </c>
      <c r="E13" s="10">
        <v>80</v>
      </c>
      <c r="F13" s="10">
        <v>85</v>
      </c>
      <c r="G13" s="10">
        <v>60</v>
      </c>
      <c r="H13" s="10">
        <v>45</v>
      </c>
      <c r="I13" s="10">
        <v>85</v>
      </c>
      <c r="J13" s="10">
        <v>85</v>
      </c>
      <c r="K13" s="10">
        <v>70</v>
      </c>
      <c r="L13" s="10">
        <v>70</v>
      </c>
      <c r="M13" s="10">
        <v>80</v>
      </c>
      <c r="N13" s="10">
        <v>65</v>
      </c>
      <c r="O13" s="10">
        <v>80</v>
      </c>
      <c r="P13" s="10">
        <v>25000</v>
      </c>
      <c r="Q13" s="10">
        <v>60</v>
      </c>
      <c r="R13" s="10">
        <v>4</v>
      </c>
      <c r="S13" s="10">
        <v>6</v>
      </c>
      <c r="T13" s="10">
        <v>70</v>
      </c>
      <c r="U13" s="10">
        <f t="shared" si="0"/>
        <v>74.5</v>
      </c>
      <c r="V13" s="8" t="s">
        <v>238</v>
      </c>
      <c r="W13" s="8" t="s">
        <v>73</v>
      </c>
      <c r="X13" s="8" t="s">
        <v>239</v>
      </c>
      <c r="Y13" s="8" t="s">
        <v>240</v>
      </c>
      <c r="Z13" s="8" t="s">
        <v>241</v>
      </c>
      <c r="AA13" s="8" t="s">
        <v>242</v>
      </c>
      <c r="AB13" s="8" t="s">
        <v>243</v>
      </c>
      <c r="AC13" s="8" t="s">
        <v>244</v>
      </c>
      <c r="AD13" s="8" t="s">
        <v>245</v>
      </c>
      <c r="AE13" s="8" t="s">
        <v>246</v>
      </c>
      <c r="AF13" s="8" t="s">
        <v>247</v>
      </c>
    </row>
    <row r="14" spans="1:32" x14ac:dyDescent="0.25">
      <c r="A14" s="8" t="s">
        <v>283</v>
      </c>
      <c r="B14" s="8" t="s">
        <v>292</v>
      </c>
      <c r="C14" s="8" t="s">
        <v>119</v>
      </c>
      <c r="D14" s="10">
        <v>72500</v>
      </c>
      <c r="E14" s="10">
        <v>65</v>
      </c>
      <c r="F14" s="10">
        <v>75</v>
      </c>
      <c r="G14" s="10">
        <v>70</v>
      </c>
      <c r="H14" s="10">
        <v>80</v>
      </c>
      <c r="I14" s="10">
        <v>75</v>
      </c>
      <c r="J14" s="10">
        <v>85</v>
      </c>
      <c r="K14" s="10">
        <v>70</v>
      </c>
      <c r="L14" s="10">
        <v>85</v>
      </c>
      <c r="M14" s="10">
        <v>90</v>
      </c>
      <c r="N14" s="10">
        <v>85</v>
      </c>
      <c r="O14" s="10">
        <v>70</v>
      </c>
      <c r="P14" s="10">
        <v>22000</v>
      </c>
      <c r="Q14" s="10">
        <v>60</v>
      </c>
      <c r="R14" s="10">
        <v>3</v>
      </c>
      <c r="S14" s="10">
        <v>6</v>
      </c>
      <c r="T14" s="10">
        <v>80</v>
      </c>
      <c r="U14" s="10">
        <f t="shared" si="0"/>
        <v>76.7</v>
      </c>
      <c r="V14" s="8" t="s">
        <v>97</v>
      </c>
      <c r="W14" s="8" t="s">
        <v>121</v>
      </c>
      <c r="X14" s="8" t="s">
        <v>284</v>
      </c>
      <c r="Y14" s="8" t="s">
        <v>285</v>
      </c>
      <c r="Z14" s="8" t="s">
        <v>286</v>
      </c>
      <c r="AA14" s="8" t="s">
        <v>287</v>
      </c>
      <c r="AB14" s="8" t="s">
        <v>288</v>
      </c>
      <c r="AC14" s="8" t="s">
        <v>127</v>
      </c>
      <c r="AD14" s="8" t="s">
        <v>289</v>
      </c>
      <c r="AE14" s="8" t="s">
        <v>290</v>
      </c>
      <c r="AF14" s="8" t="s">
        <v>291</v>
      </c>
    </row>
    <row r="15" spans="1:32" x14ac:dyDescent="0.25">
      <c r="A15" s="8" t="s">
        <v>248</v>
      </c>
      <c r="B15" s="8" t="s">
        <v>292</v>
      </c>
      <c r="C15" s="8" t="s">
        <v>249</v>
      </c>
      <c r="D15" s="10">
        <v>67500</v>
      </c>
      <c r="E15" s="10">
        <v>60</v>
      </c>
      <c r="F15" s="10">
        <v>75</v>
      </c>
      <c r="G15" s="10">
        <v>75</v>
      </c>
      <c r="H15" s="10">
        <v>75</v>
      </c>
      <c r="I15" s="10">
        <v>80</v>
      </c>
      <c r="J15" s="10">
        <v>75</v>
      </c>
      <c r="K15" s="10">
        <v>70</v>
      </c>
      <c r="L15" s="10">
        <v>70</v>
      </c>
      <c r="M15" s="10">
        <v>80</v>
      </c>
      <c r="N15" s="10">
        <v>70</v>
      </c>
      <c r="O15" s="10">
        <v>70</v>
      </c>
      <c r="P15" s="10">
        <v>25000</v>
      </c>
      <c r="Q15" s="10">
        <v>60</v>
      </c>
      <c r="R15" s="10">
        <v>4</v>
      </c>
      <c r="S15" s="10">
        <v>6</v>
      </c>
      <c r="T15" s="10">
        <v>75</v>
      </c>
      <c r="U15" s="10">
        <f t="shared" si="0"/>
        <v>73</v>
      </c>
      <c r="V15" s="8" t="s">
        <v>97</v>
      </c>
      <c r="W15" s="8" t="s">
        <v>73</v>
      </c>
      <c r="X15" s="8" t="s">
        <v>250</v>
      </c>
      <c r="Y15" s="8" t="s">
        <v>251</v>
      </c>
      <c r="Z15" s="8" t="s">
        <v>252</v>
      </c>
      <c r="AA15" s="8" t="s">
        <v>253</v>
      </c>
      <c r="AB15" s="8" t="s">
        <v>254</v>
      </c>
      <c r="AC15" s="8" t="s">
        <v>255</v>
      </c>
      <c r="AD15" s="8" t="s">
        <v>256</v>
      </c>
      <c r="AE15" s="8" t="s">
        <v>257</v>
      </c>
      <c r="AF15" s="8" t="s">
        <v>258</v>
      </c>
    </row>
    <row r="16" spans="1:32" x14ac:dyDescent="0.25">
      <c r="A16" s="8" t="s">
        <v>70</v>
      </c>
      <c r="B16" s="8" t="s">
        <v>143</v>
      </c>
      <c r="C16" s="8" t="s">
        <v>71</v>
      </c>
      <c r="D16" s="10">
        <v>92000</v>
      </c>
      <c r="E16" s="10">
        <v>85</v>
      </c>
      <c r="F16" s="10">
        <v>80</v>
      </c>
      <c r="G16" s="10">
        <v>40</v>
      </c>
      <c r="H16" s="10">
        <v>45</v>
      </c>
      <c r="I16" s="10">
        <v>90</v>
      </c>
      <c r="J16" s="10">
        <v>70</v>
      </c>
      <c r="K16" s="10">
        <v>70</v>
      </c>
      <c r="L16" s="10">
        <v>95</v>
      </c>
      <c r="M16" s="10">
        <v>95</v>
      </c>
      <c r="N16" s="10">
        <v>90</v>
      </c>
      <c r="O16" s="10">
        <v>80</v>
      </c>
      <c r="P16" s="10">
        <v>25000</v>
      </c>
      <c r="Q16" s="10">
        <v>55</v>
      </c>
      <c r="R16" s="10">
        <v>5</v>
      </c>
      <c r="S16" s="10">
        <v>7</v>
      </c>
      <c r="T16" s="10">
        <v>80</v>
      </c>
      <c r="U16" s="10">
        <f t="shared" si="0"/>
        <v>74.099999999999994</v>
      </c>
      <c r="V16" s="8" t="s">
        <v>72</v>
      </c>
      <c r="W16" s="8" t="s">
        <v>73</v>
      </c>
      <c r="X16" s="8" t="s">
        <v>74</v>
      </c>
      <c r="Y16" s="8" t="s">
        <v>75</v>
      </c>
      <c r="Z16" s="8" t="s">
        <v>76</v>
      </c>
      <c r="AA16" s="8" t="s">
        <v>77</v>
      </c>
      <c r="AB16" s="8" t="s">
        <v>78</v>
      </c>
      <c r="AC16" s="8" t="s">
        <v>79</v>
      </c>
      <c r="AD16" s="8" t="s">
        <v>80</v>
      </c>
      <c r="AE16" s="8" t="s">
        <v>81</v>
      </c>
      <c r="AF16" s="8" t="s">
        <v>82</v>
      </c>
    </row>
    <row r="17" spans="1:32" x14ac:dyDescent="0.25">
      <c r="A17" s="8" t="s">
        <v>83</v>
      </c>
      <c r="B17" s="8" t="s">
        <v>143</v>
      </c>
      <c r="C17" s="8" t="s">
        <v>84</v>
      </c>
      <c r="D17" s="10">
        <v>100000</v>
      </c>
      <c r="E17" s="10">
        <v>85</v>
      </c>
      <c r="F17" s="10">
        <v>75</v>
      </c>
      <c r="G17" s="10">
        <v>40</v>
      </c>
      <c r="H17" s="10">
        <v>45</v>
      </c>
      <c r="I17" s="10">
        <v>90</v>
      </c>
      <c r="J17" s="10">
        <v>70</v>
      </c>
      <c r="K17" s="10">
        <v>70</v>
      </c>
      <c r="L17" s="10">
        <v>95</v>
      </c>
      <c r="M17" s="10">
        <v>90</v>
      </c>
      <c r="N17" s="10">
        <v>85</v>
      </c>
      <c r="O17" s="10">
        <v>75</v>
      </c>
      <c r="P17" s="10">
        <v>28000</v>
      </c>
      <c r="Q17" s="10">
        <v>55</v>
      </c>
      <c r="R17" s="10">
        <v>4</v>
      </c>
      <c r="S17" s="10">
        <v>6</v>
      </c>
      <c r="T17" s="10">
        <v>75</v>
      </c>
      <c r="U17" s="10">
        <f t="shared" si="0"/>
        <v>72</v>
      </c>
      <c r="V17" s="8" t="s">
        <v>85</v>
      </c>
      <c r="W17" s="8" t="s">
        <v>73</v>
      </c>
      <c r="X17" s="8" t="s">
        <v>86</v>
      </c>
      <c r="Y17" s="8" t="s">
        <v>87</v>
      </c>
      <c r="Z17" s="8" t="s">
        <v>88</v>
      </c>
      <c r="AA17" s="8" t="s">
        <v>89</v>
      </c>
      <c r="AB17" s="8" t="s">
        <v>90</v>
      </c>
      <c r="AC17" s="8" t="s">
        <v>91</v>
      </c>
      <c r="AD17" s="8" t="s">
        <v>92</v>
      </c>
      <c r="AE17" s="8" t="s">
        <v>93</v>
      </c>
      <c r="AF17" s="8" t="s">
        <v>94</v>
      </c>
    </row>
    <row r="18" spans="1:32" x14ac:dyDescent="0.25">
      <c r="A18" s="8" t="s">
        <v>142</v>
      </c>
      <c r="B18" s="8" t="s">
        <v>224</v>
      </c>
      <c r="C18" s="8" t="s">
        <v>144</v>
      </c>
      <c r="D18" s="10">
        <v>75000</v>
      </c>
      <c r="E18" s="10">
        <v>70</v>
      </c>
      <c r="F18" s="10">
        <v>85</v>
      </c>
      <c r="G18" s="10">
        <v>50</v>
      </c>
      <c r="H18" s="10">
        <v>50</v>
      </c>
      <c r="I18" s="10">
        <v>85</v>
      </c>
      <c r="J18" s="10">
        <v>75</v>
      </c>
      <c r="K18" s="10">
        <v>70</v>
      </c>
      <c r="L18" s="10">
        <v>95</v>
      </c>
      <c r="M18" s="10">
        <v>90</v>
      </c>
      <c r="N18" s="10">
        <v>90</v>
      </c>
      <c r="O18" s="10">
        <v>80</v>
      </c>
      <c r="P18" s="10">
        <v>20000</v>
      </c>
      <c r="Q18" s="10">
        <v>55</v>
      </c>
      <c r="R18" s="10">
        <v>4</v>
      </c>
      <c r="S18" s="10">
        <v>6</v>
      </c>
      <c r="T18" s="10">
        <v>80</v>
      </c>
      <c r="U18" s="10">
        <f t="shared" si="0"/>
        <v>74.3</v>
      </c>
      <c r="V18" s="8" t="s">
        <v>145</v>
      </c>
      <c r="W18" s="8" t="s">
        <v>73</v>
      </c>
      <c r="X18" s="8" t="s">
        <v>146</v>
      </c>
      <c r="Y18" s="8" t="s">
        <v>147</v>
      </c>
      <c r="Z18" s="8" t="s">
        <v>148</v>
      </c>
      <c r="AA18" s="8" t="s">
        <v>149</v>
      </c>
      <c r="AB18" s="8" t="s">
        <v>150</v>
      </c>
      <c r="AC18" s="8" t="s">
        <v>151</v>
      </c>
      <c r="AD18" s="8" t="s">
        <v>152</v>
      </c>
      <c r="AE18" s="8" t="s">
        <v>153</v>
      </c>
      <c r="AF18" s="8" t="s">
        <v>154</v>
      </c>
    </row>
    <row r="19" spans="1:32" x14ac:dyDescent="0.25">
      <c r="A19" s="8" t="s">
        <v>118</v>
      </c>
      <c r="B19" s="8" t="s">
        <v>143</v>
      </c>
      <c r="C19" s="8" t="s">
        <v>119</v>
      </c>
      <c r="D19" s="10">
        <v>72500</v>
      </c>
      <c r="E19" s="10">
        <v>65</v>
      </c>
      <c r="F19" s="10">
        <v>75</v>
      </c>
      <c r="G19" s="10">
        <v>60</v>
      </c>
      <c r="H19" s="10">
        <v>55</v>
      </c>
      <c r="I19" s="10">
        <v>85</v>
      </c>
      <c r="J19" s="10">
        <v>80</v>
      </c>
      <c r="K19" s="10">
        <v>70</v>
      </c>
      <c r="L19" s="10">
        <v>90</v>
      </c>
      <c r="M19" s="10">
        <v>90</v>
      </c>
      <c r="N19" s="10">
        <v>85</v>
      </c>
      <c r="O19" s="10">
        <v>75</v>
      </c>
      <c r="P19" s="10">
        <v>18000</v>
      </c>
      <c r="Q19" s="10">
        <v>50</v>
      </c>
      <c r="R19" s="10">
        <v>4</v>
      </c>
      <c r="S19" s="10">
        <v>6</v>
      </c>
      <c r="T19" s="10">
        <v>80</v>
      </c>
      <c r="U19" s="10">
        <f t="shared" si="0"/>
        <v>74</v>
      </c>
      <c r="V19" s="8" t="s">
        <v>120</v>
      </c>
      <c r="W19" s="8" t="s">
        <v>121</v>
      </c>
      <c r="X19" s="8" t="s">
        <v>122</v>
      </c>
      <c r="Y19" s="8" t="s">
        <v>123</v>
      </c>
      <c r="Z19" s="8" t="s">
        <v>124</v>
      </c>
      <c r="AA19" s="8" t="s">
        <v>125</v>
      </c>
      <c r="AB19" s="8" t="s">
        <v>126</v>
      </c>
      <c r="AC19" s="8" t="s">
        <v>127</v>
      </c>
      <c r="AD19" s="8" t="s">
        <v>128</v>
      </c>
      <c r="AE19" s="8" t="s">
        <v>129</v>
      </c>
      <c r="AF19" s="8" t="s">
        <v>130</v>
      </c>
    </row>
    <row r="20" spans="1:32" x14ac:dyDescent="0.25">
      <c r="A20" s="8" t="s">
        <v>201</v>
      </c>
      <c r="B20" s="8" t="s">
        <v>224</v>
      </c>
      <c r="C20" s="8" t="s">
        <v>202</v>
      </c>
      <c r="D20" s="10">
        <v>77500</v>
      </c>
      <c r="E20" s="10">
        <v>70</v>
      </c>
      <c r="F20" s="10">
        <v>70</v>
      </c>
      <c r="G20" s="10">
        <v>65</v>
      </c>
      <c r="H20" s="10">
        <v>55</v>
      </c>
      <c r="I20" s="10">
        <v>95</v>
      </c>
      <c r="J20" s="10">
        <v>75</v>
      </c>
      <c r="K20" s="10">
        <v>70</v>
      </c>
      <c r="L20" s="10">
        <v>75</v>
      </c>
      <c r="M20" s="10">
        <v>70</v>
      </c>
      <c r="N20" s="10">
        <v>60</v>
      </c>
      <c r="O20" s="10">
        <v>75</v>
      </c>
      <c r="P20" s="10">
        <v>18000</v>
      </c>
      <c r="Q20" s="10">
        <v>50</v>
      </c>
      <c r="R20" s="10">
        <v>4</v>
      </c>
      <c r="S20" s="10">
        <v>6</v>
      </c>
      <c r="T20" s="10">
        <v>75</v>
      </c>
      <c r="U20" s="10">
        <f t="shared" si="0"/>
        <v>70.5</v>
      </c>
      <c r="V20" s="8" t="s">
        <v>97</v>
      </c>
      <c r="W20" s="8" t="s">
        <v>73</v>
      </c>
      <c r="X20" s="8" t="s">
        <v>203</v>
      </c>
      <c r="Y20" s="8" t="s">
        <v>204</v>
      </c>
      <c r="Z20" s="8" t="s">
        <v>205</v>
      </c>
      <c r="AA20" s="8" t="s">
        <v>206</v>
      </c>
      <c r="AB20" s="8" t="s">
        <v>207</v>
      </c>
      <c r="AC20" s="8" t="s">
        <v>127</v>
      </c>
      <c r="AD20" s="8" t="s">
        <v>208</v>
      </c>
      <c r="AE20" s="8" t="s">
        <v>209</v>
      </c>
      <c r="AF20" s="8" t="s">
        <v>210</v>
      </c>
    </row>
    <row r="21" spans="1:32" x14ac:dyDescent="0.25">
      <c r="A21" s="8" t="s">
        <v>107</v>
      </c>
      <c r="B21" s="8" t="s">
        <v>143</v>
      </c>
      <c r="C21" s="8" t="s">
        <v>108</v>
      </c>
      <c r="D21" s="10">
        <v>65000</v>
      </c>
      <c r="E21" s="10">
        <v>60</v>
      </c>
      <c r="F21" s="10">
        <v>75</v>
      </c>
      <c r="G21" s="10">
        <v>70</v>
      </c>
      <c r="H21" s="10">
        <v>60</v>
      </c>
      <c r="I21" s="10">
        <v>90</v>
      </c>
      <c r="J21" s="10">
        <v>80</v>
      </c>
      <c r="K21" s="10">
        <v>75</v>
      </c>
      <c r="L21" s="10">
        <v>65</v>
      </c>
      <c r="M21" s="10">
        <v>60</v>
      </c>
      <c r="N21" s="10">
        <v>55</v>
      </c>
      <c r="O21" s="10">
        <v>65</v>
      </c>
      <c r="P21" s="10">
        <v>15000</v>
      </c>
      <c r="Q21" s="10">
        <v>45</v>
      </c>
      <c r="R21" s="10">
        <v>9</v>
      </c>
      <c r="S21" s="10">
        <v>7</v>
      </c>
      <c r="T21" s="10">
        <v>75</v>
      </c>
      <c r="U21" s="10">
        <f t="shared" si="0"/>
        <v>70.099999999999994</v>
      </c>
      <c r="V21" s="8" t="s">
        <v>97</v>
      </c>
      <c r="W21" s="8" t="s">
        <v>73</v>
      </c>
      <c r="X21" s="8" t="s">
        <v>109</v>
      </c>
      <c r="Y21" s="8" t="s">
        <v>110</v>
      </c>
      <c r="Z21" s="8" t="s">
        <v>111</v>
      </c>
      <c r="AA21" s="8" t="s">
        <v>112</v>
      </c>
      <c r="AB21" s="8" t="s">
        <v>113</v>
      </c>
      <c r="AC21" s="8" t="s">
        <v>114</v>
      </c>
      <c r="AD21" s="8" t="s">
        <v>115</v>
      </c>
      <c r="AE21" s="8" t="s">
        <v>116</v>
      </c>
      <c r="AF21" s="8" t="s">
        <v>117</v>
      </c>
    </row>
    <row r="22" spans="1:32" x14ac:dyDescent="0.25">
      <c r="A22" s="8" t="s">
        <v>270</v>
      </c>
      <c r="B22" s="8" t="s">
        <v>293</v>
      </c>
      <c r="C22" s="8" t="s">
        <v>271</v>
      </c>
      <c r="D22" s="10">
        <v>55000</v>
      </c>
      <c r="E22" s="10">
        <v>40</v>
      </c>
      <c r="F22" s="10">
        <v>60</v>
      </c>
      <c r="G22" s="10">
        <v>85</v>
      </c>
      <c r="H22" s="10">
        <v>60</v>
      </c>
      <c r="I22" s="10">
        <v>80</v>
      </c>
      <c r="J22" s="10">
        <v>85</v>
      </c>
      <c r="K22" s="10">
        <v>60</v>
      </c>
      <c r="L22" s="10">
        <v>55</v>
      </c>
      <c r="M22" s="10">
        <v>55</v>
      </c>
      <c r="N22" s="10">
        <v>50</v>
      </c>
      <c r="O22" s="10">
        <v>50</v>
      </c>
      <c r="P22" s="10">
        <v>15000</v>
      </c>
      <c r="Q22" s="10">
        <v>45</v>
      </c>
      <c r="R22" s="10">
        <v>9</v>
      </c>
      <c r="S22" s="10">
        <v>8</v>
      </c>
      <c r="T22" s="10">
        <v>85</v>
      </c>
      <c r="U22" s="10">
        <f t="shared" si="0"/>
        <v>66.400000000000006</v>
      </c>
      <c r="V22" s="8" t="s">
        <v>272</v>
      </c>
      <c r="W22" s="8" t="s">
        <v>273</v>
      </c>
      <c r="X22" s="8" t="s">
        <v>274</v>
      </c>
      <c r="Y22" s="8" t="s">
        <v>275</v>
      </c>
      <c r="Z22" s="8" t="s">
        <v>276</v>
      </c>
      <c r="AA22" s="8" t="s">
        <v>277</v>
      </c>
      <c r="AB22" s="8" t="s">
        <v>278</v>
      </c>
      <c r="AC22" s="8" t="s">
        <v>279</v>
      </c>
      <c r="AD22" s="8" t="s">
        <v>280</v>
      </c>
      <c r="AE22" s="8" t="s">
        <v>281</v>
      </c>
      <c r="AF22" s="8" t="s">
        <v>282</v>
      </c>
    </row>
    <row r="23" spans="1:32" x14ac:dyDescent="0.25">
      <c r="A23" s="8" t="s">
        <v>190</v>
      </c>
      <c r="B23" s="8" t="s">
        <v>224</v>
      </c>
      <c r="C23" s="8" t="s">
        <v>191</v>
      </c>
      <c r="D23" s="10">
        <v>57500</v>
      </c>
      <c r="E23" s="10">
        <v>55</v>
      </c>
      <c r="F23" s="10">
        <v>70</v>
      </c>
      <c r="G23" s="10">
        <v>65</v>
      </c>
      <c r="H23" s="10">
        <v>65</v>
      </c>
      <c r="I23" s="10">
        <v>75</v>
      </c>
      <c r="J23" s="10">
        <v>85</v>
      </c>
      <c r="K23" s="10">
        <v>80</v>
      </c>
      <c r="L23" s="10">
        <v>75</v>
      </c>
      <c r="M23" s="10">
        <v>70</v>
      </c>
      <c r="N23" s="10">
        <v>65</v>
      </c>
      <c r="O23" s="10">
        <v>60</v>
      </c>
      <c r="P23" s="10">
        <v>12000</v>
      </c>
      <c r="Q23" s="10">
        <v>40</v>
      </c>
      <c r="R23" s="10">
        <v>8</v>
      </c>
      <c r="S23" s="10">
        <v>7</v>
      </c>
      <c r="T23" s="10">
        <v>80</v>
      </c>
      <c r="U23" s="10">
        <f t="shared" si="0"/>
        <v>70.8</v>
      </c>
      <c r="V23" s="8" t="s">
        <v>97</v>
      </c>
      <c r="W23" s="8" t="s">
        <v>156</v>
      </c>
      <c r="X23" s="8" t="s">
        <v>192</v>
      </c>
      <c r="Y23" s="8" t="s">
        <v>193</v>
      </c>
      <c r="Z23" s="8" t="s">
        <v>194</v>
      </c>
      <c r="AA23" s="8" t="s">
        <v>195</v>
      </c>
      <c r="AB23" s="8" t="s">
        <v>196</v>
      </c>
      <c r="AC23" s="8" t="s">
        <v>197</v>
      </c>
      <c r="AD23" s="8" t="s">
        <v>198</v>
      </c>
      <c r="AE23" s="8" t="s">
        <v>199</v>
      </c>
      <c r="AF23" s="8" t="s">
        <v>200</v>
      </c>
    </row>
  </sheetData>
  <autoFilter ref="A1:AF23" xr:uid="{00000000-0009-0000-0000-000000000000}">
    <sortState ref="A2:AF23">
      <sortCondition descending="1" ref="Q1:Q23"/>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D8C02-FB9C-470A-B5CC-6D1AB82E9241}">
  <dimension ref="A1:H11"/>
  <sheetViews>
    <sheetView tabSelected="1" workbookViewId="0">
      <selection activeCell="D10" sqref="D10"/>
    </sheetView>
  </sheetViews>
  <sheetFormatPr defaultRowHeight="15" x14ac:dyDescent="0.25"/>
  <cols>
    <col min="1" max="1" width="29.140625" bestFit="1" customWidth="1"/>
    <col min="2" max="2" width="65.85546875" bestFit="1" customWidth="1"/>
    <col min="3" max="3" width="33.7109375" style="6" customWidth="1"/>
    <col min="4" max="4" width="34.42578125" bestFit="1" customWidth="1"/>
    <col min="5" max="5" width="35.140625" bestFit="1" customWidth="1"/>
    <col min="6" max="6" width="13" bestFit="1" customWidth="1"/>
    <col min="7" max="7" width="69" bestFit="1" customWidth="1"/>
    <col min="8" max="8" width="255.5703125" customWidth="1"/>
  </cols>
  <sheetData>
    <row r="1" spans="1:8" x14ac:dyDescent="0.25">
      <c r="A1" s="2" t="s">
        <v>294</v>
      </c>
      <c r="B1" s="2" t="s">
        <v>295</v>
      </c>
      <c r="C1" s="4" t="s">
        <v>296</v>
      </c>
      <c r="D1" s="2" t="s">
        <v>297</v>
      </c>
      <c r="E1" s="2" t="s">
        <v>298</v>
      </c>
      <c r="F1" s="2" t="s">
        <v>354</v>
      </c>
      <c r="G1" s="2" t="s">
        <v>299</v>
      </c>
      <c r="H1" s="2" t="s">
        <v>300</v>
      </c>
    </row>
    <row r="2" spans="1:8" x14ac:dyDescent="0.25">
      <c r="A2" s="3" t="s">
        <v>301</v>
      </c>
      <c r="B2" s="3" t="s">
        <v>302</v>
      </c>
      <c r="C2" s="5">
        <v>0.85</v>
      </c>
      <c r="D2" s="3" t="s">
        <v>303</v>
      </c>
      <c r="E2" s="3" t="s">
        <v>304</v>
      </c>
      <c r="F2" s="3">
        <v>7</v>
      </c>
      <c r="G2" s="3" t="s">
        <v>305</v>
      </c>
      <c r="H2" s="3" t="s">
        <v>306</v>
      </c>
    </row>
    <row r="3" spans="1:8" x14ac:dyDescent="0.25">
      <c r="A3" s="3" t="s">
        <v>307</v>
      </c>
      <c r="B3" s="3" t="s">
        <v>308</v>
      </c>
      <c r="C3" s="5">
        <v>0.8</v>
      </c>
      <c r="D3" s="3" t="s">
        <v>309</v>
      </c>
      <c r="E3" s="3" t="s">
        <v>310</v>
      </c>
      <c r="F3" s="3">
        <v>6</v>
      </c>
      <c r="G3" s="3" t="s">
        <v>311</v>
      </c>
      <c r="H3" s="3" t="s">
        <v>312</v>
      </c>
    </row>
    <row r="4" spans="1:8" x14ac:dyDescent="0.25">
      <c r="A4" s="3" t="s">
        <v>313</v>
      </c>
      <c r="B4" s="3" t="s">
        <v>314</v>
      </c>
      <c r="C4" s="5">
        <v>0.75</v>
      </c>
      <c r="D4" s="3" t="s">
        <v>315</v>
      </c>
      <c r="E4" s="3" t="s">
        <v>316</v>
      </c>
      <c r="F4" s="3">
        <v>1</v>
      </c>
      <c r="G4" s="3" t="s">
        <v>317</v>
      </c>
      <c r="H4" s="3" t="s">
        <v>318</v>
      </c>
    </row>
    <row r="5" spans="1:8" x14ac:dyDescent="0.25">
      <c r="A5" s="3" t="s">
        <v>319</v>
      </c>
      <c r="B5" s="3" t="s">
        <v>320</v>
      </c>
      <c r="C5" s="5">
        <v>0.65</v>
      </c>
      <c r="D5" s="3" t="s">
        <v>316</v>
      </c>
      <c r="E5" s="3" t="s">
        <v>321</v>
      </c>
      <c r="F5" s="3">
        <v>2</v>
      </c>
      <c r="G5" s="3" t="s">
        <v>322</v>
      </c>
      <c r="H5" s="3" t="s">
        <v>323</v>
      </c>
    </row>
    <row r="6" spans="1:8" x14ac:dyDescent="0.25">
      <c r="A6" s="3" t="s">
        <v>324</v>
      </c>
      <c r="B6" s="3" t="s">
        <v>325</v>
      </c>
      <c r="C6" s="5">
        <v>0.6</v>
      </c>
      <c r="D6" s="3" t="s">
        <v>316</v>
      </c>
      <c r="E6" s="3" t="s">
        <v>316</v>
      </c>
      <c r="F6" s="3">
        <v>5</v>
      </c>
      <c r="G6" s="3" t="s">
        <v>326</v>
      </c>
      <c r="H6" s="3" t="s">
        <v>327</v>
      </c>
    </row>
    <row r="7" spans="1:8" x14ac:dyDescent="0.25">
      <c r="A7" s="3" t="s">
        <v>328</v>
      </c>
      <c r="B7" s="3" t="s">
        <v>329</v>
      </c>
      <c r="C7" s="5">
        <v>0.55000000000000004</v>
      </c>
      <c r="D7" s="3" t="s">
        <v>330</v>
      </c>
      <c r="E7" s="3" t="s">
        <v>321</v>
      </c>
      <c r="F7" s="3">
        <v>3</v>
      </c>
      <c r="G7" s="3" t="s">
        <v>331</v>
      </c>
      <c r="H7" s="3" t="s">
        <v>332</v>
      </c>
    </row>
    <row r="8" spans="1:8" x14ac:dyDescent="0.25">
      <c r="A8" s="3" t="s">
        <v>333</v>
      </c>
      <c r="B8" s="3" t="s">
        <v>334</v>
      </c>
      <c r="C8" s="5">
        <v>0.45</v>
      </c>
      <c r="D8" s="3" t="s">
        <v>321</v>
      </c>
      <c r="E8" s="3" t="s">
        <v>335</v>
      </c>
      <c r="F8" s="3">
        <v>4</v>
      </c>
      <c r="G8" s="3" t="s">
        <v>336</v>
      </c>
      <c r="H8" s="3" t="s">
        <v>337</v>
      </c>
    </row>
    <row r="9" spans="1:8" x14ac:dyDescent="0.25">
      <c r="A9" s="3" t="s">
        <v>338</v>
      </c>
      <c r="B9" s="3" t="s">
        <v>339</v>
      </c>
      <c r="C9" s="5">
        <v>0.35</v>
      </c>
      <c r="D9" s="3" t="s">
        <v>316</v>
      </c>
      <c r="E9" s="3" t="s">
        <v>340</v>
      </c>
      <c r="F9" s="3">
        <v>8</v>
      </c>
      <c r="G9" s="3" t="s">
        <v>341</v>
      </c>
      <c r="H9" s="3" t="s">
        <v>342</v>
      </c>
    </row>
    <row r="10" spans="1:8" x14ac:dyDescent="0.25">
      <c r="A10" s="3" t="s">
        <v>343</v>
      </c>
      <c r="B10" s="3" t="s">
        <v>32</v>
      </c>
      <c r="C10" s="5">
        <v>0.15</v>
      </c>
      <c r="D10" s="3" t="s">
        <v>344</v>
      </c>
      <c r="E10" s="3" t="s">
        <v>345</v>
      </c>
      <c r="F10" s="3">
        <v>10</v>
      </c>
      <c r="G10" s="3" t="s">
        <v>346</v>
      </c>
      <c r="H10" s="3" t="s">
        <v>347</v>
      </c>
    </row>
    <row r="11" spans="1:8" x14ac:dyDescent="0.25">
      <c r="A11" s="3" t="s">
        <v>348</v>
      </c>
      <c r="B11" s="3" t="s">
        <v>349</v>
      </c>
      <c r="C11" s="5">
        <v>0.05</v>
      </c>
      <c r="D11" s="3" t="s">
        <v>350</v>
      </c>
      <c r="E11" s="3" t="s">
        <v>351</v>
      </c>
      <c r="F11" s="3">
        <v>9</v>
      </c>
      <c r="G11" s="3" t="s">
        <v>352</v>
      </c>
      <c r="H11" s="3" t="s">
        <v>353</v>
      </c>
    </row>
  </sheetData>
  <autoFilter ref="A1:H11" xr:uid="{5E39DBCA-A389-4697-A832-9520D396DA29}">
    <sortState ref="A2:H11">
      <sortCondition descending="1" ref="C1:C1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Countries</vt:lpstr>
      <vt:lpstr>Methods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Ramtin</cp:lastModifiedBy>
  <dcterms:created xsi:type="dcterms:W3CDTF">2026-09-26T07:08:37Z</dcterms:created>
  <dcterms:modified xsi:type="dcterms:W3CDTF">2026-09-26T07:37:47Z</dcterms:modified>
</cp:coreProperties>
</file>